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ocuments\"/>
    </mc:Choice>
  </mc:AlternateContent>
  <xr:revisionPtr revIDLastSave="0" documentId="8_{3C9ABFC9-7550-449A-9C7E-C5DE320527C0}" xr6:coauthVersionLast="47" xr6:coauthVersionMax="47" xr10:uidLastSave="{00000000-0000-0000-0000-000000000000}"/>
  <bookViews>
    <workbookView xWindow="-110" yWindow="-110" windowWidth="19420" windowHeight="10300" xr2:uid="{8C22C3D3-5834-4BD4-B37C-96702C4CF3A3}"/>
  </bookViews>
  <sheets>
    <sheet name="Items Sold to Customers" sheetId="1" r:id="rId1"/>
  </sheets>
  <definedNames>
    <definedName name="_xlnm.Print_Titles" localSheetId="0">'Items Sold to Customers'!$1:$1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290" i="1" l="1"/>
  <c r="H1290" i="1"/>
  <c r="G1290" i="1"/>
  <c r="F1290" i="1"/>
  <c r="D1290" i="1"/>
  <c r="I1288" i="1"/>
  <c r="H1288" i="1"/>
  <c r="G1288" i="1"/>
  <c r="F1288" i="1"/>
  <c r="D1288" i="1"/>
  <c r="I1286" i="1"/>
  <c r="H1286" i="1"/>
  <c r="I1284" i="1"/>
  <c r="H1284" i="1"/>
  <c r="G1284" i="1"/>
  <c r="F1284" i="1"/>
  <c r="D1284" i="1"/>
  <c r="I1282" i="1"/>
  <c r="H1282" i="1"/>
  <c r="I1281" i="1"/>
  <c r="H1281" i="1"/>
  <c r="I1280" i="1"/>
  <c r="H1280" i="1"/>
  <c r="I1279" i="1"/>
  <c r="H1279" i="1"/>
  <c r="I1278" i="1"/>
  <c r="H1278" i="1"/>
  <c r="I1277" i="1"/>
  <c r="H1277" i="1"/>
  <c r="I1276" i="1"/>
  <c r="H1276" i="1"/>
  <c r="I1275" i="1"/>
  <c r="H1275" i="1"/>
  <c r="I1274" i="1"/>
  <c r="H1274" i="1"/>
  <c r="I1273" i="1"/>
  <c r="H1273" i="1"/>
  <c r="I1272" i="1"/>
  <c r="H1272" i="1"/>
  <c r="I1271" i="1"/>
  <c r="H1271" i="1"/>
  <c r="I1270" i="1"/>
  <c r="H1270" i="1"/>
  <c r="I1269" i="1"/>
  <c r="H1269" i="1"/>
  <c r="I1268" i="1"/>
  <c r="H1268" i="1"/>
  <c r="I1267" i="1"/>
  <c r="H1267" i="1"/>
  <c r="I1266" i="1"/>
  <c r="H1266" i="1"/>
  <c r="I1265" i="1"/>
  <c r="H1265" i="1"/>
  <c r="I1264" i="1"/>
  <c r="H1264" i="1"/>
  <c r="I1263" i="1"/>
  <c r="H1263" i="1"/>
  <c r="I1262" i="1"/>
  <c r="H1262" i="1"/>
  <c r="I1261" i="1"/>
  <c r="H1261" i="1"/>
  <c r="I1260" i="1"/>
  <c r="H1260" i="1"/>
  <c r="I1258" i="1"/>
  <c r="H1258" i="1"/>
  <c r="G1258" i="1"/>
  <c r="F1258" i="1"/>
  <c r="D1258" i="1"/>
  <c r="I1256" i="1"/>
  <c r="H1256" i="1"/>
  <c r="I1255" i="1"/>
  <c r="H1255" i="1"/>
  <c r="I1254" i="1"/>
  <c r="H1254" i="1"/>
  <c r="I1253" i="1"/>
  <c r="H1253" i="1"/>
  <c r="I1252" i="1"/>
  <c r="H1252" i="1"/>
  <c r="I1251" i="1"/>
  <c r="H1251" i="1"/>
  <c r="I1250" i="1"/>
  <c r="H1250" i="1"/>
  <c r="I1249" i="1"/>
  <c r="H1249" i="1"/>
  <c r="I1248" i="1"/>
  <c r="H1248" i="1"/>
  <c r="I1247" i="1"/>
  <c r="H1247" i="1"/>
  <c r="I1246" i="1"/>
  <c r="H1246" i="1"/>
  <c r="I1245" i="1"/>
  <c r="H1245" i="1"/>
  <c r="I1244" i="1"/>
  <c r="H1244" i="1"/>
  <c r="I1243" i="1"/>
  <c r="H1243" i="1"/>
  <c r="I1242" i="1"/>
  <c r="H1242" i="1"/>
  <c r="I1241" i="1"/>
  <c r="H1241" i="1"/>
  <c r="I1240" i="1"/>
  <c r="H1240" i="1"/>
  <c r="I1239" i="1"/>
  <c r="H1239" i="1"/>
  <c r="I1238" i="1"/>
  <c r="H1238" i="1"/>
  <c r="I1237" i="1"/>
  <c r="H1237" i="1"/>
  <c r="I1236" i="1"/>
  <c r="H1236" i="1"/>
  <c r="I1235" i="1"/>
  <c r="H1235" i="1"/>
  <c r="I1234" i="1"/>
  <c r="H1234" i="1"/>
  <c r="I1233" i="1"/>
  <c r="H1233" i="1"/>
  <c r="I1232" i="1"/>
  <c r="H1232" i="1"/>
  <c r="I1231" i="1"/>
  <c r="H1231" i="1"/>
  <c r="I1230" i="1"/>
  <c r="H1230" i="1"/>
  <c r="I1229" i="1"/>
  <c r="H1229" i="1"/>
  <c r="I1228" i="1"/>
  <c r="H1228" i="1"/>
  <c r="I1227" i="1"/>
  <c r="H1227" i="1"/>
  <c r="I1226" i="1"/>
  <c r="H1226" i="1"/>
  <c r="I1225" i="1"/>
  <c r="H1225" i="1"/>
  <c r="I1224" i="1"/>
  <c r="H1224" i="1"/>
  <c r="I1223" i="1"/>
  <c r="H1223" i="1"/>
  <c r="I1222" i="1"/>
  <c r="H1222" i="1"/>
  <c r="I1221" i="1"/>
  <c r="H1221" i="1"/>
  <c r="I1220" i="1"/>
  <c r="H1220" i="1"/>
  <c r="I1219" i="1"/>
  <c r="H1219" i="1"/>
  <c r="I1217" i="1"/>
  <c r="H1217" i="1"/>
  <c r="G1217" i="1"/>
  <c r="F1217" i="1"/>
  <c r="D1217" i="1"/>
  <c r="I1215" i="1"/>
  <c r="H1215" i="1"/>
  <c r="I1214" i="1"/>
  <c r="H1214" i="1"/>
  <c r="I1213" i="1"/>
  <c r="H1213" i="1"/>
  <c r="I1212" i="1"/>
  <c r="H1212" i="1"/>
  <c r="I1211" i="1"/>
  <c r="H1211" i="1"/>
  <c r="I1210" i="1"/>
  <c r="H1210" i="1"/>
  <c r="I1209" i="1"/>
  <c r="H1209" i="1"/>
  <c r="I1208" i="1"/>
  <c r="H1208" i="1"/>
  <c r="I1207" i="1"/>
  <c r="H1207" i="1"/>
  <c r="I1206" i="1"/>
  <c r="H1206" i="1"/>
  <c r="I1205" i="1"/>
  <c r="H1205" i="1"/>
  <c r="I1204" i="1"/>
  <c r="H1204" i="1"/>
  <c r="I1203" i="1"/>
  <c r="H1203" i="1"/>
  <c r="I1202" i="1"/>
  <c r="H1202" i="1"/>
  <c r="I1201" i="1"/>
  <c r="H1201" i="1"/>
  <c r="I1200" i="1"/>
  <c r="H1200" i="1"/>
  <c r="I1199" i="1"/>
  <c r="H1199" i="1"/>
  <c r="I1198" i="1"/>
  <c r="H1198" i="1"/>
  <c r="I1196" i="1"/>
  <c r="H1196" i="1"/>
  <c r="G1196" i="1"/>
  <c r="F1196" i="1"/>
  <c r="D1196" i="1"/>
  <c r="I1194" i="1"/>
  <c r="H1194" i="1"/>
  <c r="I1193" i="1"/>
  <c r="H1193" i="1"/>
  <c r="I1191" i="1"/>
  <c r="H1191" i="1"/>
  <c r="G1191" i="1"/>
  <c r="F1191" i="1"/>
  <c r="D1191" i="1"/>
  <c r="I1189" i="1"/>
  <c r="H1189" i="1"/>
  <c r="I1187" i="1"/>
  <c r="H1187" i="1"/>
  <c r="G1187" i="1"/>
  <c r="F1187" i="1"/>
  <c r="D1187" i="1"/>
  <c r="I1185" i="1"/>
  <c r="H1185" i="1"/>
  <c r="I1183" i="1"/>
  <c r="H1183" i="1"/>
  <c r="G1183" i="1"/>
  <c r="F1183" i="1"/>
  <c r="D1183" i="1"/>
  <c r="I1181" i="1"/>
  <c r="H1181" i="1"/>
  <c r="I1179" i="1"/>
  <c r="H1179" i="1"/>
  <c r="G1179" i="1"/>
  <c r="F1179" i="1"/>
  <c r="D1179" i="1"/>
  <c r="I1177" i="1"/>
  <c r="H1177" i="1"/>
  <c r="I1176" i="1"/>
  <c r="H1176" i="1"/>
  <c r="I1174" i="1"/>
  <c r="H1174" i="1"/>
  <c r="G1174" i="1"/>
  <c r="F1174" i="1"/>
  <c r="D1174" i="1"/>
  <c r="I1172" i="1"/>
  <c r="H1172" i="1"/>
  <c r="I1171" i="1"/>
  <c r="H1171" i="1"/>
  <c r="I1169" i="1"/>
  <c r="H1169" i="1"/>
  <c r="G1169" i="1"/>
  <c r="F1169" i="1"/>
  <c r="D1169" i="1"/>
  <c r="I1167" i="1"/>
  <c r="H1167" i="1"/>
  <c r="I1166" i="1"/>
  <c r="H1166" i="1"/>
  <c r="I1165" i="1"/>
  <c r="H1165" i="1"/>
  <c r="I1164" i="1"/>
  <c r="H1164" i="1"/>
  <c r="I1163" i="1"/>
  <c r="H1163" i="1"/>
  <c r="I1162" i="1"/>
  <c r="H1162" i="1"/>
  <c r="I1161" i="1"/>
  <c r="H1161" i="1"/>
  <c r="I1160" i="1"/>
  <c r="H1160" i="1"/>
  <c r="I1158" i="1"/>
  <c r="H1158" i="1"/>
  <c r="G1158" i="1"/>
  <c r="F1158" i="1"/>
  <c r="D1158" i="1"/>
  <c r="I1156" i="1"/>
  <c r="H1156" i="1"/>
  <c r="I1154" i="1"/>
  <c r="H1154" i="1"/>
  <c r="G1154" i="1"/>
  <c r="F1154" i="1"/>
  <c r="D1154" i="1"/>
  <c r="I1152" i="1"/>
  <c r="H1152" i="1"/>
  <c r="I1150" i="1"/>
  <c r="H1150" i="1"/>
  <c r="G1150" i="1"/>
  <c r="F1150" i="1"/>
  <c r="D1150" i="1"/>
  <c r="I1148" i="1"/>
  <c r="H1148" i="1"/>
  <c r="I1147" i="1"/>
  <c r="H1147" i="1"/>
  <c r="I1145" i="1"/>
  <c r="H1145" i="1"/>
  <c r="G1145" i="1"/>
  <c r="F1145" i="1"/>
  <c r="D1145" i="1"/>
  <c r="I1143" i="1"/>
  <c r="H1143" i="1"/>
  <c r="I1141" i="1"/>
  <c r="H1141" i="1"/>
  <c r="G1141" i="1"/>
  <c r="F1141" i="1"/>
  <c r="D1141" i="1"/>
  <c r="I1139" i="1"/>
  <c r="H1139" i="1"/>
  <c r="I1138" i="1"/>
  <c r="H1138" i="1"/>
  <c r="I1137" i="1"/>
  <c r="H1137" i="1"/>
  <c r="I1135" i="1"/>
  <c r="H1135" i="1"/>
  <c r="G1135" i="1"/>
  <c r="F1135" i="1"/>
  <c r="D1135" i="1"/>
  <c r="I1133" i="1"/>
  <c r="H1133" i="1"/>
  <c r="I1132" i="1"/>
  <c r="H1132" i="1"/>
  <c r="I1130" i="1"/>
  <c r="H1130" i="1"/>
  <c r="G1130" i="1"/>
  <c r="F1130" i="1"/>
  <c r="D1130" i="1"/>
  <c r="I1128" i="1"/>
  <c r="H1128" i="1"/>
  <c r="I1126" i="1"/>
  <c r="H1126" i="1"/>
  <c r="G1126" i="1"/>
  <c r="F1126" i="1"/>
  <c r="D1126" i="1"/>
  <c r="I1124" i="1"/>
  <c r="H1124" i="1"/>
  <c r="I1123" i="1"/>
  <c r="H1123" i="1"/>
  <c r="I1121" i="1"/>
  <c r="H1121" i="1"/>
  <c r="G1121" i="1"/>
  <c r="F1121" i="1"/>
  <c r="D1121" i="1"/>
  <c r="I1119" i="1"/>
  <c r="H1119" i="1"/>
  <c r="I1118" i="1"/>
  <c r="H1118" i="1"/>
  <c r="I1116" i="1"/>
  <c r="H1116" i="1"/>
  <c r="G1116" i="1"/>
  <c r="F1116" i="1"/>
  <c r="D1116" i="1"/>
  <c r="I1114" i="1"/>
  <c r="H1114" i="1"/>
  <c r="I1113" i="1"/>
  <c r="H1113" i="1"/>
  <c r="I1112" i="1"/>
  <c r="H1112" i="1"/>
  <c r="I1110" i="1"/>
  <c r="H1110" i="1"/>
  <c r="G1110" i="1"/>
  <c r="F1110" i="1"/>
  <c r="D1110" i="1"/>
  <c r="I1108" i="1"/>
  <c r="H1108" i="1"/>
  <c r="I1107" i="1"/>
  <c r="H1107" i="1"/>
  <c r="I1105" i="1"/>
  <c r="H1105" i="1"/>
  <c r="G1105" i="1"/>
  <c r="F1105" i="1"/>
  <c r="D1105" i="1"/>
  <c r="I1103" i="1"/>
  <c r="H1103" i="1"/>
  <c r="I1101" i="1"/>
  <c r="H1101" i="1"/>
  <c r="G1101" i="1"/>
  <c r="F1101" i="1"/>
  <c r="D1101" i="1"/>
  <c r="I1099" i="1"/>
  <c r="H1099" i="1"/>
  <c r="I1097" i="1"/>
  <c r="H1097" i="1"/>
  <c r="G1097" i="1"/>
  <c r="F1097" i="1"/>
  <c r="D1097" i="1"/>
  <c r="I1095" i="1"/>
  <c r="H1095" i="1"/>
  <c r="I1094" i="1"/>
  <c r="H1094" i="1"/>
  <c r="I1092" i="1"/>
  <c r="H1092" i="1"/>
  <c r="G1092" i="1"/>
  <c r="F1092" i="1"/>
  <c r="D1092" i="1"/>
  <c r="I1090" i="1"/>
  <c r="H1090" i="1"/>
  <c r="I1089" i="1"/>
  <c r="H1089" i="1"/>
  <c r="I1087" i="1"/>
  <c r="H1087" i="1"/>
  <c r="G1087" i="1"/>
  <c r="F1087" i="1"/>
  <c r="D1087" i="1"/>
  <c r="I1085" i="1"/>
  <c r="H1085" i="1"/>
  <c r="I1083" i="1"/>
  <c r="H1083" i="1"/>
  <c r="G1083" i="1"/>
  <c r="F1083" i="1"/>
  <c r="D1083" i="1"/>
  <c r="I1081" i="1"/>
  <c r="H1081" i="1"/>
  <c r="I1079" i="1"/>
  <c r="H1079" i="1"/>
  <c r="G1079" i="1"/>
  <c r="F1079" i="1"/>
  <c r="D1079" i="1"/>
  <c r="I1077" i="1"/>
  <c r="H1077" i="1"/>
  <c r="I1076" i="1"/>
  <c r="H1076" i="1"/>
  <c r="I1075" i="1"/>
  <c r="H1075" i="1"/>
  <c r="I1074" i="1"/>
  <c r="H1074" i="1"/>
  <c r="I1072" i="1"/>
  <c r="H1072" i="1"/>
  <c r="G1072" i="1"/>
  <c r="F1072" i="1"/>
  <c r="D1072" i="1"/>
  <c r="I1070" i="1"/>
  <c r="H1070" i="1"/>
  <c r="I1069" i="1"/>
  <c r="H1069" i="1"/>
  <c r="I1068" i="1"/>
  <c r="H1068" i="1"/>
  <c r="I1067" i="1"/>
  <c r="H1067" i="1"/>
  <c r="I1065" i="1"/>
  <c r="H1065" i="1"/>
  <c r="G1065" i="1"/>
  <c r="F1065" i="1"/>
  <c r="D1065" i="1"/>
  <c r="I1063" i="1"/>
  <c r="H1063" i="1"/>
  <c r="I1062" i="1"/>
  <c r="H1062" i="1"/>
  <c r="I1061" i="1"/>
  <c r="H1061" i="1"/>
  <c r="I1060" i="1"/>
  <c r="H1060" i="1"/>
  <c r="I1059" i="1"/>
  <c r="H1059" i="1"/>
  <c r="I1058" i="1"/>
  <c r="H1058" i="1"/>
  <c r="I1057" i="1"/>
  <c r="H1057" i="1"/>
  <c r="I1055" i="1"/>
  <c r="H1055" i="1"/>
  <c r="G1055" i="1"/>
  <c r="F1055" i="1"/>
  <c r="D1055" i="1"/>
  <c r="I1053" i="1"/>
  <c r="H1053" i="1"/>
  <c r="I1052" i="1"/>
  <c r="H1052" i="1"/>
  <c r="I1050" i="1"/>
  <c r="H1050" i="1"/>
  <c r="G1050" i="1"/>
  <c r="F1050" i="1"/>
  <c r="D1050" i="1"/>
  <c r="I1048" i="1"/>
  <c r="H1048" i="1"/>
  <c r="I1047" i="1"/>
  <c r="H1047" i="1"/>
  <c r="I1045" i="1"/>
  <c r="H1045" i="1"/>
  <c r="G1045" i="1"/>
  <c r="F1045" i="1"/>
  <c r="D1045" i="1"/>
  <c r="I1043" i="1"/>
  <c r="H1043" i="1"/>
  <c r="I1042" i="1"/>
  <c r="H1042" i="1"/>
  <c r="I1041" i="1"/>
  <c r="H1041" i="1"/>
  <c r="I1039" i="1"/>
  <c r="H1039" i="1"/>
  <c r="G1039" i="1"/>
  <c r="F1039" i="1"/>
  <c r="D1039" i="1"/>
  <c r="I1037" i="1"/>
  <c r="H1037" i="1"/>
  <c r="I1036" i="1"/>
  <c r="H1036" i="1"/>
  <c r="I1035" i="1"/>
  <c r="H1035" i="1"/>
  <c r="I1034" i="1"/>
  <c r="H1034" i="1"/>
  <c r="I1033" i="1"/>
  <c r="H1033" i="1"/>
  <c r="I1031" i="1"/>
  <c r="H1031" i="1"/>
  <c r="G1031" i="1"/>
  <c r="F1031" i="1"/>
  <c r="D1031" i="1"/>
  <c r="I1029" i="1"/>
  <c r="H1029" i="1"/>
  <c r="I1028" i="1"/>
  <c r="H1028" i="1"/>
  <c r="I1027" i="1"/>
  <c r="H1027" i="1"/>
  <c r="I1025" i="1"/>
  <c r="H1025" i="1"/>
  <c r="G1025" i="1"/>
  <c r="F1025" i="1"/>
  <c r="D1025" i="1"/>
  <c r="I1023" i="1"/>
  <c r="H1023" i="1"/>
  <c r="I1021" i="1"/>
  <c r="H1021" i="1"/>
  <c r="G1021" i="1"/>
  <c r="F1021" i="1"/>
  <c r="D1021" i="1"/>
  <c r="I1019" i="1"/>
  <c r="H1019" i="1"/>
  <c r="I1018" i="1"/>
  <c r="H1018" i="1"/>
  <c r="I1017" i="1"/>
  <c r="H1017" i="1"/>
  <c r="I1016" i="1"/>
  <c r="H1016" i="1"/>
  <c r="I1014" i="1"/>
  <c r="H1014" i="1"/>
  <c r="G1014" i="1"/>
  <c r="F1014" i="1"/>
  <c r="D1014" i="1"/>
  <c r="I1012" i="1"/>
  <c r="H1012" i="1"/>
  <c r="I1011" i="1"/>
  <c r="H1011" i="1"/>
  <c r="I1010" i="1"/>
  <c r="H1010" i="1"/>
  <c r="I1009" i="1"/>
  <c r="H1009" i="1"/>
  <c r="I1007" i="1"/>
  <c r="H1007" i="1"/>
  <c r="G1007" i="1"/>
  <c r="F1007" i="1"/>
  <c r="D1007" i="1"/>
  <c r="I1005" i="1"/>
  <c r="H1005" i="1"/>
  <c r="I1004" i="1"/>
  <c r="H1004" i="1"/>
  <c r="I1002" i="1"/>
  <c r="H1002" i="1"/>
  <c r="G1002" i="1"/>
  <c r="F1002" i="1"/>
  <c r="D1002" i="1"/>
  <c r="I1000" i="1"/>
  <c r="H1000" i="1"/>
  <c r="I999" i="1"/>
  <c r="H999" i="1"/>
  <c r="I998" i="1"/>
  <c r="H998" i="1"/>
  <c r="I996" i="1"/>
  <c r="H996" i="1"/>
  <c r="G996" i="1"/>
  <c r="F996" i="1"/>
  <c r="D996" i="1"/>
  <c r="I994" i="1"/>
  <c r="H994" i="1"/>
  <c r="I992" i="1"/>
  <c r="H992" i="1"/>
  <c r="G992" i="1"/>
  <c r="F992" i="1"/>
  <c r="D992" i="1"/>
  <c r="I990" i="1"/>
  <c r="H990" i="1"/>
  <c r="I989" i="1"/>
  <c r="H989" i="1"/>
  <c r="I988" i="1"/>
  <c r="H988" i="1"/>
  <c r="I987" i="1"/>
  <c r="H987" i="1"/>
  <c r="I986" i="1"/>
  <c r="H986" i="1"/>
  <c r="I984" i="1"/>
  <c r="H984" i="1"/>
  <c r="G984" i="1"/>
  <c r="F984" i="1"/>
  <c r="D984" i="1"/>
  <c r="I982" i="1"/>
  <c r="H982" i="1"/>
  <c r="I980" i="1"/>
  <c r="H980" i="1"/>
  <c r="G980" i="1"/>
  <c r="F980" i="1"/>
  <c r="D980" i="1"/>
  <c r="I978" i="1"/>
  <c r="H978" i="1"/>
  <c r="I976" i="1"/>
  <c r="H976" i="1"/>
  <c r="G976" i="1"/>
  <c r="F976" i="1"/>
  <c r="D976" i="1"/>
  <c r="I974" i="1"/>
  <c r="H974" i="1"/>
  <c r="I972" i="1"/>
  <c r="H972" i="1"/>
  <c r="G972" i="1"/>
  <c r="F972" i="1"/>
  <c r="D972" i="1"/>
  <c r="I970" i="1"/>
  <c r="H970" i="1"/>
  <c r="I969" i="1"/>
  <c r="H969" i="1"/>
  <c r="I968" i="1"/>
  <c r="H968" i="1"/>
  <c r="I967" i="1"/>
  <c r="H967" i="1"/>
  <c r="I965" i="1"/>
  <c r="H965" i="1"/>
  <c r="G965" i="1"/>
  <c r="F965" i="1"/>
  <c r="D965" i="1"/>
  <c r="I963" i="1"/>
  <c r="H963" i="1"/>
  <c r="I961" i="1"/>
  <c r="H961" i="1"/>
  <c r="G961" i="1"/>
  <c r="F961" i="1"/>
  <c r="D961" i="1"/>
  <c r="I959" i="1"/>
  <c r="H959" i="1"/>
  <c r="I957" i="1"/>
  <c r="H957" i="1"/>
  <c r="G957" i="1"/>
  <c r="F957" i="1"/>
  <c r="D957" i="1"/>
  <c r="I955" i="1"/>
  <c r="H955" i="1"/>
  <c r="I954" i="1"/>
  <c r="H954" i="1"/>
  <c r="I952" i="1"/>
  <c r="H952" i="1"/>
  <c r="G952" i="1"/>
  <c r="F952" i="1"/>
  <c r="D952" i="1"/>
  <c r="I950" i="1"/>
  <c r="H950" i="1"/>
  <c r="I949" i="1"/>
  <c r="H949" i="1"/>
  <c r="I947" i="1"/>
  <c r="H947" i="1"/>
  <c r="G947" i="1"/>
  <c r="F947" i="1"/>
  <c r="D947" i="1"/>
  <c r="I945" i="1"/>
  <c r="H945" i="1"/>
  <c r="I944" i="1"/>
  <c r="H944" i="1"/>
  <c r="I942" i="1"/>
  <c r="H942" i="1"/>
  <c r="G942" i="1"/>
  <c r="F942" i="1"/>
  <c r="D942" i="1"/>
  <c r="I940" i="1"/>
  <c r="H940" i="1"/>
  <c r="I938" i="1"/>
  <c r="H938" i="1"/>
  <c r="G938" i="1"/>
  <c r="F938" i="1"/>
  <c r="D938" i="1"/>
  <c r="I936" i="1"/>
  <c r="H936" i="1"/>
  <c r="I934" i="1"/>
  <c r="H934" i="1"/>
  <c r="G934" i="1"/>
  <c r="F934" i="1"/>
  <c r="D934" i="1"/>
  <c r="I932" i="1"/>
  <c r="H932" i="1"/>
  <c r="I930" i="1"/>
  <c r="H930" i="1"/>
  <c r="G930" i="1"/>
  <c r="F930" i="1"/>
  <c r="D930" i="1"/>
  <c r="I928" i="1"/>
  <c r="H928" i="1"/>
  <c r="I926" i="1"/>
  <c r="H926" i="1"/>
  <c r="G926" i="1"/>
  <c r="F926" i="1"/>
  <c r="D926" i="1"/>
  <c r="I924" i="1"/>
  <c r="H924" i="1"/>
  <c r="I922" i="1"/>
  <c r="H922" i="1"/>
  <c r="G922" i="1"/>
  <c r="F922" i="1"/>
  <c r="D922" i="1"/>
  <c r="I920" i="1"/>
  <c r="H920" i="1"/>
  <c r="I918" i="1"/>
  <c r="H918" i="1"/>
  <c r="G918" i="1"/>
  <c r="F918" i="1"/>
  <c r="D918" i="1"/>
  <c r="I916" i="1"/>
  <c r="H916" i="1"/>
  <c r="I915" i="1"/>
  <c r="H915" i="1"/>
  <c r="I914" i="1"/>
  <c r="H914" i="1"/>
  <c r="I912" i="1"/>
  <c r="H912" i="1"/>
  <c r="G912" i="1"/>
  <c r="F912" i="1"/>
  <c r="D912" i="1"/>
  <c r="I910" i="1"/>
  <c r="H910" i="1"/>
  <c r="I909" i="1"/>
  <c r="H909" i="1"/>
  <c r="I907" i="1"/>
  <c r="H907" i="1"/>
  <c r="G907" i="1"/>
  <c r="F907" i="1"/>
  <c r="D907" i="1"/>
  <c r="I905" i="1"/>
  <c r="H905" i="1"/>
  <c r="I904" i="1"/>
  <c r="H904" i="1"/>
  <c r="I903" i="1"/>
  <c r="H903" i="1"/>
  <c r="I902" i="1"/>
  <c r="H902" i="1"/>
  <c r="I901" i="1"/>
  <c r="H901" i="1"/>
  <c r="I900" i="1"/>
  <c r="H900" i="1"/>
  <c r="I899" i="1"/>
  <c r="H899" i="1"/>
  <c r="I898" i="1"/>
  <c r="H898" i="1"/>
  <c r="I897" i="1"/>
  <c r="H897" i="1"/>
  <c r="I896" i="1"/>
  <c r="H896" i="1"/>
  <c r="I895" i="1"/>
  <c r="H895" i="1"/>
  <c r="I893" i="1"/>
  <c r="H893" i="1"/>
  <c r="G893" i="1"/>
  <c r="F893" i="1"/>
  <c r="D893" i="1"/>
  <c r="I891" i="1"/>
  <c r="H891" i="1"/>
  <c r="I890" i="1"/>
  <c r="H890" i="1"/>
  <c r="I889" i="1"/>
  <c r="H889" i="1"/>
  <c r="I888" i="1"/>
  <c r="H888" i="1"/>
  <c r="I887" i="1"/>
  <c r="H887" i="1"/>
  <c r="I886" i="1"/>
  <c r="H886" i="1"/>
  <c r="I885" i="1"/>
  <c r="H885" i="1"/>
  <c r="I884" i="1"/>
  <c r="H884" i="1"/>
  <c r="I882" i="1"/>
  <c r="H882" i="1"/>
  <c r="G882" i="1"/>
  <c r="F882" i="1"/>
  <c r="D882" i="1"/>
  <c r="I880" i="1"/>
  <c r="H880" i="1"/>
  <c r="I878" i="1"/>
  <c r="H878" i="1"/>
  <c r="G878" i="1"/>
  <c r="F878" i="1"/>
  <c r="D878" i="1"/>
  <c r="I876" i="1"/>
  <c r="H876" i="1"/>
  <c r="I874" i="1"/>
  <c r="H874" i="1"/>
  <c r="G874" i="1"/>
  <c r="F874" i="1"/>
  <c r="D874" i="1"/>
  <c r="I872" i="1"/>
  <c r="H872" i="1"/>
  <c r="I871" i="1"/>
  <c r="H871" i="1"/>
  <c r="I870" i="1"/>
  <c r="H870" i="1"/>
  <c r="I869" i="1"/>
  <c r="H869" i="1"/>
  <c r="I868" i="1"/>
  <c r="H868" i="1"/>
  <c r="I866" i="1"/>
  <c r="H866" i="1"/>
  <c r="G866" i="1"/>
  <c r="F866" i="1"/>
  <c r="D866" i="1"/>
  <c r="I864" i="1"/>
  <c r="H864" i="1"/>
  <c r="I863" i="1"/>
  <c r="H863" i="1"/>
  <c r="I862" i="1"/>
  <c r="H862" i="1"/>
  <c r="I860" i="1"/>
  <c r="H860" i="1"/>
  <c r="G860" i="1"/>
  <c r="F860" i="1"/>
  <c r="D860" i="1"/>
  <c r="I858" i="1"/>
  <c r="H858" i="1"/>
  <c r="I856" i="1"/>
  <c r="H856" i="1"/>
  <c r="G856" i="1"/>
  <c r="F856" i="1"/>
  <c r="D856" i="1"/>
  <c r="I854" i="1"/>
  <c r="H854" i="1"/>
  <c r="I853" i="1"/>
  <c r="H853" i="1"/>
  <c r="I852" i="1"/>
  <c r="H852" i="1"/>
  <c r="I851" i="1"/>
  <c r="H851" i="1"/>
  <c r="I850" i="1"/>
  <c r="H850" i="1"/>
  <c r="I849" i="1"/>
  <c r="H849" i="1"/>
  <c r="I848" i="1"/>
  <c r="H848" i="1"/>
  <c r="I847" i="1"/>
  <c r="H847" i="1"/>
  <c r="I846" i="1"/>
  <c r="H846" i="1"/>
  <c r="I845" i="1"/>
  <c r="H845" i="1"/>
  <c r="I844" i="1"/>
  <c r="H844" i="1"/>
  <c r="I843" i="1"/>
  <c r="H843" i="1"/>
  <c r="I842" i="1"/>
  <c r="H842" i="1"/>
  <c r="I840" i="1"/>
  <c r="H840" i="1"/>
  <c r="G840" i="1"/>
  <c r="F840" i="1"/>
  <c r="D840" i="1"/>
  <c r="I838" i="1"/>
  <c r="H838" i="1"/>
  <c r="I837" i="1"/>
  <c r="H837" i="1"/>
  <c r="I836" i="1"/>
  <c r="H836" i="1"/>
  <c r="I835" i="1"/>
  <c r="H835" i="1"/>
  <c r="I834" i="1"/>
  <c r="H834" i="1"/>
  <c r="I833" i="1"/>
  <c r="H833" i="1"/>
  <c r="I832" i="1"/>
  <c r="H832" i="1"/>
  <c r="I831" i="1"/>
  <c r="H831" i="1"/>
  <c r="I829" i="1"/>
  <c r="H829" i="1"/>
  <c r="G829" i="1"/>
  <c r="F829" i="1"/>
  <c r="D829" i="1"/>
  <c r="I827" i="1"/>
  <c r="H827" i="1"/>
  <c r="I826" i="1"/>
  <c r="H826" i="1"/>
  <c r="I825" i="1"/>
  <c r="H825" i="1"/>
  <c r="I824" i="1"/>
  <c r="H824" i="1"/>
  <c r="I822" i="1"/>
  <c r="H822" i="1"/>
  <c r="G822" i="1"/>
  <c r="F822" i="1"/>
  <c r="D822" i="1"/>
  <c r="I820" i="1"/>
  <c r="H820" i="1"/>
  <c r="I819" i="1"/>
  <c r="H819" i="1"/>
  <c r="I817" i="1"/>
  <c r="H817" i="1"/>
  <c r="G817" i="1"/>
  <c r="F817" i="1"/>
  <c r="D817" i="1"/>
  <c r="I815" i="1"/>
  <c r="H815" i="1"/>
  <c r="I813" i="1"/>
  <c r="H813" i="1"/>
  <c r="G813" i="1"/>
  <c r="F813" i="1"/>
  <c r="D813" i="1"/>
  <c r="I811" i="1"/>
  <c r="H811" i="1"/>
  <c r="I809" i="1"/>
  <c r="H809" i="1"/>
  <c r="G809" i="1"/>
  <c r="F809" i="1"/>
  <c r="D809" i="1"/>
  <c r="I807" i="1"/>
  <c r="H807" i="1"/>
  <c r="I806" i="1"/>
  <c r="H806" i="1"/>
  <c r="I805" i="1"/>
  <c r="H805" i="1"/>
  <c r="I803" i="1"/>
  <c r="H803" i="1"/>
  <c r="G803" i="1"/>
  <c r="F803" i="1"/>
  <c r="D803" i="1"/>
  <c r="I801" i="1"/>
  <c r="H801" i="1"/>
  <c r="I800" i="1"/>
  <c r="H800" i="1"/>
  <c r="I798" i="1"/>
  <c r="H798" i="1"/>
  <c r="G798" i="1"/>
  <c r="F798" i="1"/>
  <c r="D798" i="1"/>
  <c r="I796" i="1"/>
  <c r="H796" i="1"/>
  <c r="I795" i="1"/>
  <c r="H795" i="1"/>
  <c r="I794" i="1"/>
  <c r="H794" i="1"/>
  <c r="I793" i="1"/>
  <c r="H793" i="1"/>
  <c r="I792" i="1"/>
  <c r="H792" i="1"/>
  <c r="I790" i="1"/>
  <c r="H790" i="1"/>
  <c r="G790" i="1"/>
  <c r="F790" i="1"/>
  <c r="D790" i="1"/>
  <c r="I788" i="1"/>
  <c r="H788" i="1"/>
  <c r="I787" i="1"/>
  <c r="H787" i="1"/>
  <c r="I786" i="1"/>
  <c r="H786" i="1"/>
  <c r="I785" i="1"/>
  <c r="H785" i="1"/>
  <c r="I783" i="1"/>
  <c r="H783" i="1"/>
  <c r="G783" i="1"/>
  <c r="F783" i="1"/>
  <c r="D783" i="1"/>
  <c r="I781" i="1"/>
  <c r="H781" i="1"/>
  <c r="I780" i="1"/>
  <c r="H780" i="1"/>
  <c r="I778" i="1"/>
  <c r="H778" i="1"/>
  <c r="G778" i="1"/>
  <c r="F778" i="1"/>
  <c r="D778" i="1"/>
  <c r="I776" i="1"/>
  <c r="H776" i="1"/>
  <c r="I775" i="1"/>
  <c r="H775" i="1"/>
  <c r="I773" i="1"/>
  <c r="H773" i="1"/>
  <c r="G773" i="1"/>
  <c r="F773" i="1"/>
  <c r="D773" i="1"/>
  <c r="I771" i="1"/>
  <c r="H771" i="1"/>
  <c r="I770" i="1"/>
  <c r="H770" i="1"/>
  <c r="I768" i="1"/>
  <c r="H768" i="1"/>
  <c r="G768" i="1"/>
  <c r="F768" i="1"/>
  <c r="D768" i="1"/>
  <c r="I766" i="1"/>
  <c r="H766" i="1"/>
  <c r="I764" i="1"/>
  <c r="H764" i="1"/>
  <c r="G764" i="1"/>
  <c r="F764" i="1"/>
  <c r="D764" i="1"/>
  <c r="I762" i="1"/>
  <c r="H762" i="1"/>
  <c r="I761" i="1"/>
  <c r="H761" i="1"/>
  <c r="I760" i="1"/>
  <c r="H760" i="1"/>
  <c r="I758" i="1"/>
  <c r="H758" i="1"/>
  <c r="G758" i="1"/>
  <c r="F758" i="1"/>
  <c r="D758" i="1"/>
  <c r="I756" i="1"/>
  <c r="H756" i="1"/>
  <c r="I754" i="1"/>
  <c r="H754" i="1"/>
  <c r="G754" i="1"/>
  <c r="F754" i="1"/>
  <c r="D754" i="1"/>
  <c r="I752" i="1"/>
  <c r="H752" i="1"/>
  <c r="I750" i="1"/>
  <c r="H750" i="1"/>
  <c r="G750" i="1"/>
  <c r="F750" i="1"/>
  <c r="D750" i="1"/>
  <c r="I748" i="1"/>
  <c r="H748" i="1"/>
  <c r="I747" i="1"/>
  <c r="H747" i="1"/>
  <c r="I745" i="1"/>
  <c r="H745" i="1"/>
  <c r="G745" i="1"/>
  <c r="F745" i="1"/>
  <c r="D745" i="1"/>
  <c r="I743" i="1"/>
  <c r="H743" i="1"/>
  <c r="I741" i="1"/>
  <c r="H741" i="1"/>
  <c r="G741" i="1"/>
  <c r="F741" i="1"/>
  <c r="D741" i="1"/>
  <c r="I739" i="1"/>
  <c r="H739" i="1"/>
  <c r="I738" i="1"/>
  <c r="H738" i="1"/>
  <c r="I737" i="1"/>
  <c r="H737" i="1"/>
  <c r="I735" i="1"/>
  <c r="H735" i="1"/>
  <c r="G735" i="1"/>
  <c r="F735" i="1"/>
  <c r="D735" i="1"/>
  <c r="I733" i="1"/>
  <c r="H733" i="1"/>
  <c r="I732" i="1"/>
  <c r="H732" i="1"/>
  <c r="I730" i="1"/>
  <c r="H730" i="1"/>
  <c r="G730" i="1"/>
  <c r="F730" i="1"/>
  <c r="D730" i="1"/>
  <c r="I728" i="1"/>
  <c r="H728" i="1"/>
  <c r="I726" i="1"/>
  <c r="H726" i="1"/>
  <c r="G726" i="1"/>
  <c r="F726" i="1"/>
  <c r="D726" i="1"/>
  <c r="I724" i="1"/>
  <c r="H724" i="1"/>
  <c r="I723" i="1"/>
  <c r="H723" i="1"/>
  <c r="I721" i="1"/>
  <c r="H721" i="1"/>
  <c r="G721" i="1"/>
  <c r="F721" i="1"/>
  <c r="D721" i="1"/>
  <c r="I719" i="1"/>
  <c r="H719" i="1"/>
  <c r="I718" i="1"/>
  <c r="H718" i="1"/>
  <c r="I717" i="1"/>
  <c r="H717" i="1"/>
  <c r="I716" i="1"/>
  <c r="H716" i="1"/>
  <c r="I714" i="1"/>
  <c r="H714" i="1"/>
  <c r="G714" i="1"/>
  <c r="F714" i="1"/>
  <c r="D714" i="1"/>
  <c r="I712" i="1"/>
  <c r="H712" i="1"/>
  <c r="I711" i="1"/>
  <c r="H711" i="1"/>
  <c r="I710" i="1"/>
  <c r="H710" i="1"/>
  <c r="I709" i="1"/>
  <c r="H709" i="1"/>
  <c r="I707" i="1"/>
  <c r="H707" i="1"/>
  <c r="G707" i="1"/>
  <c r="F707" i="1"/>
  <c r="D707" i="1"/>
  <c r="I705" i="1"/>
  <c r="H705" i="1"/>
  <c r="I703" i="1"/>
  <c r="H703" i="1"/>
  <c r="G703" i="1"/>
  <c r="F703" i="1"/>
  <c r="D703" i="1"/>
  <c r="I701" i="1"/>
  <c r="H701" i="1"/>
  <c r="I700" i="1"/>
  <c r="H700" i="1"/>
  <c r="I699" i="1"/>
  <c r="H699" i="1"/>
  <c r="I698" i="1"/>
  <c r="H698" i="1"/>
  <c r="I696" i="1"/>
  <c r="H696" i="1"/>
  <c r="G696" i="1"/>
  <c r="F696" i="1"/>
  <c r="D696" i="1"/>
  <c r="I694" i="1"/>
  <c r="H694" i="1"/>
  <c r="I693" i="1"/>
  <c r="H693" i="1"/>
  <c r="I692" i="1"/>
  <c r="H692" i="1"/>
  <c r="I690" i="1"/>
  <c r="H690" i="1"/>
  <c r="G690" i="1"/>
  <c r="F690" i="1"/>
  <c r="D690" i="1"/>
  <c r="I688" i="1"/>
  <c r="H688" i="1"/>
  <c r="I686" i="1"/>
  <c r="H686" i="1"/>
  <c r="G686" i="1"/>
  <c r="F686" i="1"/>
  <c r="D686" i="1"/>
  <c r="I684" i="1"/>
  <c r="H684" i="1"/>
  <c r="I682" i="1"/>
  <c r="H682" i="1"/>
  <c r="G682" i="1"/>
  <c r="F682" i="1"/>
  <c r="D682" i="1"/>
  <c r="I680" i="1"/>
  <c r="H680" i="1"/>
  <c r="I679" i="1"/>
  <c r="H679" i="1"/>
  <c r="I677" i="1"/>
  <c r="H677" i="1"/>
  <c r="G677" i="1"/>
  <c r="F677" i="1"/>
  <c r="D677" i="1"/>
  <c r="I675" i="1"/>
  <c r="H675" i="1"/>
  <c r="I673" i="1"/>
  <c r="H673" i="1"/>
  <c r="G673" i="1"/>
  <c r="F673" i="1"/>
  <c r="D673" i="1"/>
  <c r="I671" i="1"/>
  <c r="H671" i="1"/>
  <c r="I669" i="1"/>
  <c r="H669" i="1"/>
  <c r="G669" i="1"/>
  <c r="F669" i="1"/>
  <c r="D669" i="1"/>
  <c r="I667" i="1"/>
  <c r="H667" i="1"/>
  <c r="I666" i="1"/>
  <c r="H666" i="1"/>
  <c r="I664" i="1"/>
  <c r="H664" i="1"/>
  <c r="G664" i="1"/>
  <c r="F664" i="1"/>
  <c r="D664" i="1"/>
  <c r="I662" i="1"/>
  <c r="H662" i="1"/>
  <c r="I661" i="1"/>
  <c r="H661" i="1"/>
  <c r="I660" i="1"/>
  <c r="H660" i="1"/>
  <c r="I659" i="1"/>
  <c r="H659" i="1"/>
  <c r="I657" i="1"/>
  <c r="H657" i="1"/>
  <c r="G657" i="1"/>
  <c r="F657" i="1"/>
  <c r="D657" i="1"/>
  <c r="I655" i="1"/>
  <c r="H655" i="1"/>
  <c r="I654" i="1"/>
  <c r="H654" i="1"/>
  <c r="I652" i="1"/>
  <c r="H652" i="1"/>
  <c r="G652" i="1"/>
  <c r="F652" i="1"/>
  <c r="D652" i="1"/>
  <c r="I650" i="1"/>
  <c r="H650" i="1"/>
  <c r="I648" i="1"/>
  <c r="H648" i="1"/>
  <c r="G648" i="1"/>
  <c r="F648" i="1"/>
  <c r="D648" i="1"/>
  <c r="I646" i="1"/>
  <c r="H646" i="1"/>
  <c r="I645" i="1"/>
  <c r="H645" i="1"/>
  <c r="I643" i="1"/>
  <c r="H643" i="1"/>
  <c r="G643" i="1"/>
  <c r="F643" i="1"/>
  <c r="D643" i="1"/>
  <c r="I641" i="1"/>
  <c r="H641" i="1"/>
  <c r="I640" i="1"/>
  <c r="H640" i="1"/>
  <c r="I638" i="1"/>
  <c r="H638" i="1"/>
  <c r="G638" i="1"/>
  <c r="F638" i="1"/>
  <c r="D638" i="1"/>
  <c r="I636" i="1"/>
  <c r="H636" i="1"/>
  <c r="I635" i="1"/>
  <c r="H635" i="1"/>
  <c r="I634" i="1"/>
  <c r="H634" i="1"/>
  <c r="I633" i="1"/>
  <c r="H633" i="1"/>
  <c r="I632" i="1"/>
  <c r="H632" i="1"/>
  <c r="I631" i="1"/>
  <c r="H631" i="1"/>
  <c r="I630" i="1"/>
  <c r="H630" i="1"/>
  <c r="I629" i="1"/>
  <c r="H629" i="1"/>
  <c r="I628" i="1"/>
  <c r="H628" i="1"/>
  <c r="I626" i="1"/>
  <c r="H626" i="1"/>
  <c r="G626" i="1"/>
  <c r="F626" i="1"/>
  <c r="D626" i="1"/>
  <c r="I624" i="1"/>
  <c r="H624" i="1"/>
  <c r="I623" i="1"/>
  <c r="H623" i="1"/>
  <c r="I621" i="1"/>
  <c r="H621" i="1"/>
  <c r="G621" i="1"/>
  <c r="F621" i="1"/>
  <c r="D621" i="1"/>
  <c r="I619" i="1"/>
  <c r="H619" i="1"/>
  <c r="I617" i="1"/>
  <c r="H617" i="1"/>
  <c r="G617" i="1"/>
  <c r="F617" i="1"/>
  <c r="D617" i="1"/>
  <c r="I615" i="1"/>
  <c r="H615" i="1"/>
  <c r="I614" i="1"/>
  <c r="H614" i="1"/>
  <c r="I613" i="1"/>
  <c r="H613" i="1"/>
  <c r="I612" i="1"/>
  <c r="H612" i="1"/>
  <c r="I610" i="1"/>
  <c r="H610" i="1"/>
  <c r="G610" i="1"/>
  <c r="F610" i="1"/>
  <c r="D610" i="1"/>
  <c r="I608" i="1"/>
  <c r="H608" i="1"/>
  <c r="I606" i="1"/>
  <c r="H606" i="1"/>
  <c r="G606" i="1"/>
  <c r="F606" i="1"/>
  <c r="D606" i="1"/>
  <c r="I604" i="1"/>
  <c r="H604" i="1"/>
  <c r="I603" i="1"/>
  <c r="H603" i="1"/>
  <c r="I601" i="1"/>
  <c r="H601" i="1"/>
  <c r="G601" i="1"/>
  <c r="F601" i="1"/>
  <c r="D601" i="1"/>
  <c r="I599" i="1"/>
  <c r="H599" i="1"/>
  <c r="I597" i="1"/>
  <c r="H597" i="1"/>
  <c r="G597" i="1"/>
  <c r="F597" i="1"/>
  <c r="D597" i="1"/>
  <c r="I595" i="1"/>
  <c r="H595" i="1"/>
  <c r="I594" i="1"/>
  <c r="H594" i="1"/>
  <c r="I593" i="1"/>
  <c r="H593" i="1"/>
  <c r="I592" i="1"/>
  <c r="H592" i="1"/>
  <c r="I591" i="1"/>
  <c r="H591" i="1"/>
  <c r="I590" i="1"/>
  <c r="H590" i="1"/>
  <c r="I588" i="1"/>
  <c r="H588" i="1"/>
  <c r="G588" i="1"/>
  <c r="F588" i="1"/>
  <c r="D588" i="1"/>
  <c r="I586" i="1"/>
  <c r="H586" i="1"/>
  <c r="I584" i="1"/>
  <c r="H584" i="1"/>
  <c r="G584" i="1"/>
  <c r="F584" i="1"/>
  <c r="D584" i="1"/>
  <c r="I582" i="1"/>
  <c r="H582" i="1"/>
  <c r="I581" i="1"/>
  <c r="H581" i="1"/>
  <c r="I580" i="1"/>
  <c r="H580" i="1"/>
  <c r="I579" i="1"/>
  <c r="H579" i="1"/>
  <c r="I578" i="1"/>
  <c r="H578" i="1"/>
  <c r="I577" i="1"/>
  <c r="H577" i="1"/>
  <c r="I576" i="1"/>
  <c r="H576" i="1"/>
  <c r="I575" i="1"/>
  <c r="H575" i="1"/>
  <c r="I573" i="1"/>
  <c r="H573" i="1"/>
  <c r="G573" i="1"/>
  <c r="F573" i="1"/>
  <c r="D573" i="1"/>
  <c r="I571" i="1"/>
  <c r="H571" i="1"/>
  <c r="I569" i="1"/>
  <c r="H569" i="1"/>
  <c r="G569" i="1"/>
  <c r="F569" i="1"/>
  <c r="D569" i="1"/>
  <c r="I567" i="1"/>
  <c r="H567" i="1"/>
  <c r="I565" i="1"/>
  <c r="H565" i="1"/>
  <c r="G565" i="1"/>
  <c r="F565" i="1"/>
  <c r="D565" i="1"/>
  <c r="I563" i="1"/>
  <c r="H563" i="1"/>
  <c r="I561" i="1"/>
  <c r="H561" i="1"/>
  <c r="G561" i="1"/>
  <c r="F561" i="1"/>
  <c r="D561" i="1"/>
  <c r="I559" i="1"/>
  <c r="H559" i="1"/>
  <c r="I557" i="1"/>
  <c r="H557" i="1"/>
  <c r="G557" i="1"/>
  <c r="F557" i="1"/>
  <c r="D557" i="1"/>
  <c r="I555" i="1"/>
  <c r="H555" i="1"/>
  <c r="I553" i="1"/>
  <c r="H553" i="1"/>
  <c r="G553" i="1"/>
  <c r="F553" i="1"/>
  <c r="D553" i="1"/>
  <c r="I551" i="1"/>
  <c r="H551" i="1"/>
  <c r="I549" i="1"/>
  <c r="H549" i="1"/>
  <c r="G549" i="1"/>
  <c r="F549" i="1"/>
  <c r="D549" i="1"/>
  <c r="I547" i="1"/>
  <c r="H547" i="1"/>
  <c r="I545" i="1"/>
  <c r="H545" i="1"/>
  <c r="G545" i="1"/>
  <c r="F545" i="1"/>
  <c r="D545" i="1"/>
  <c r="I543" i="1"/>
  <c r="H543" i="1"/>
  <c r="I541" i="1"/>
  <c r="H541" i="1"/>
  <c r="G541" i="1"/>
  <c r="F541" i="1"/>
  <c r="D541" i="1"/>
  <c r="I539" i="1"/>
  <c r="H539" i="1"/>
  <c r="I537" i="1"/>
  <c r="H537" i="1"/>
  <c r="G537" i="1"/>
  <c r="F537" i="1"/>
  <c r="D537" i="1"/>
  <c r="I535" i="1"/>
  <c r="H535" i="1"/>
  <c r="I533" i="1"/>
  <c r="H533" i="1"/>
  <c r="G533" i="1"/>
  <c r="F533" i="1"/>
  <c r="D533" i="1"/>
  <c r="I531" i="1"/>
  <c r="H531" i="1"/>
  <c r="I529" i="1"/>
  <c r="H529" i="1"/>
  <c r="G529" i="1"/>
  <c r="F529" i="1"/>
  <c r="D529" i="1"/>
  <c r="I527" i="1"/>
  <c r="H527" i="1"/>
  <c r="I525" i="1"/>
  <c r="H525" i="1"/>
  <c r="G525" i="1"/>
  <c r="F525" i="1"/>
  <c r="D525" i="1"/>
  <c r="I523" i="1"/>
  <c r="H523" i="1"/>
  <c r="I521" i="1"/>
  <c r="H521" i="1"/>
  <c r="G521" i="1"/>
  <c r="F521" i="1"/>
  <c r="D521" i="1"/>
  <c r="I519" i="1"/>
  <c r="H519" i="1"/>
  <c r="I517" i="1"/>
  <c r="H517" i="1"/>
  <c r="G517" i="1"/>
  <c r="F517" i="1"/>
  <c r="D517" i="1"/>
  <c r="I515" i="1"/>
  <c r="H515" i="1"/>
  <c r="I513" i="1"/>
  <c r="H513" i="1"/>
  <c r="G513" i="1"/>
  <c r="F513" i="1"/>
  <c r="D513" i="1"/>
  <c r="I511" i="1"/>
  <c r="H511" i="1"/>
  <c r="I509" i="1"/>
  <c r="H509" i="1"/>
  <c r="G509" i="1"/>
  <c r="F509" i="1"/>
  <c r="D509" i="1"/>
  <c r="I507" i="1"/>
  <c r="H507" i="1"/>
  <c r="I505" i="1"/>
  <c r="H505" i="1"/>
  <c r="G505" i="1"/>
  <c r="F505" i="1"/>
  <c r="D505" i="1"/>
  <c r="I503" i="1"/>
  <c r="H503" i="1"/>
  <c r="I501" i="1"/>
  <c r="H501" i="1"/>
  <c r="G501" i="1"/>
  <c r="F501" i="1"/>
  <c r="D501" i="1"/>
  <c r="I499" i="1"/>
  <c r="H499" i="1"/>
  <c r="I497" i="1"/>
  <c r="H497" i="1"/>
  <c r="G497" i="1"/>
  <c r="F497" i="1"/>
  <c r="D497" i="1"/>
  <c r="I495" i="1"/>
  <c r="H495" i="1"/>
  <c r="I493" i="1"/>
  <c r="H493" i="1"/>
  <c r="G493" i="1"/>
  <c r="F493" i="1"/>
  <c r="D493" i="1"/>
  <c r="I491" i="1"/>
  <c r="H491" i="1"/>
  <c r="I489" i="1"/>
  <c r="H489" i="1"/>
  <c r="G489" i="1"/>
  <c r="F489" i="1"/>
  <c r="D489" i="1"/>
  <c r="I487" i="1"/>
  <c r="H487" i="1"/>
  <c r="I485" i="1"/>
  <c r="H485" i="1"/>
  <c r="G485" i="1"/>
  <c r="F485" i="1"/>
  <c r="D485" i="1"/>
  <c r="I483" i="1"/>
  <c r="H483" i="1"/>
  <c r="I481" i="1"/>
  <c r="H481" i="1"/>
  <c r="G481" i="1"/>
  <c r="F481" i="1"/>
  <c r="D481" i="1"/>
  <c r="I479" i="1"/>
  <c r="H479" i="1"/>
  <c r="I477" i="1"/>
  <c r="H477" i="1"/>
  <c r="G477" i="1"/>
  <c r="F477" i="1"/>
  <c r="D477" i="1"/>
  <c r="I475" i="1"/>
  <c r="H475" i="1"/>
  <c r="I473" i="1"/>
  <c r="H473" i="1"/>
  <c r="G473" i="1"/>
  <c r="F473" i="1"/>
  <c r="D473" i="1"/>
  <c r="I471" i="1"/>
  <c r="H471" i="1"/>
  <c r="I469" i="1"/>
  <c r="H469" i="1"/>
  <c r="G469" i="1"/>
  <c r="F469" i="1"/>
  <c r="D469" i="1"/>
  <c r="I467" i="1"/>
  <c r="H467" i="1"/>
  <c r="I465" i="1"/>
  <c r="H465" i="1"/>
  <c r="G465" i="1"/>
  <c r="F465" i="1"/>
  <c r="D465" i="1"/>
  <c r="I463" i="1"/>
  <c r="H463" i="1"/>
  <c r="I461" i="1"/>
  <c r="H461" i="1"/>
  <c r="G461" i="1"/>
  <c r="F461" i="1"/>
  <c r="D461" i="1"/>
  <c r="I459" i="1"/>
  <c r="H459" i="1"/>
  <c r="I457" i="1"/>
  <c r="H457" i="1"/>
  <c r="G457" i="1"/>
  <c r="F457" i="1"/>
  <c r="D457" i="1"/>
  <c r="I455" i="1"/>
  <c r="H455" i="1"/>
  <c r="I453" i="1"/>
  <c r="H453" i="1"/>
  <c r="G453" i="1"/>
  <c r="F453" i="1"/>
  <c r="D453" i="1"/>
  <c r="I451" i="1"/>
  <c r="H451" i="1"/>
  <c r="I449" i="1"/>
  <c r="H449" i="1"/>
  <c r="G449" i="1"/>
  <c r="F449" i="1"/>
  <c r="D449" i="1"/>
  <c r="I447" i="1"/>
  <c r="H447" i="1"/>
  <c r="I445" i="1"/>
  <c r="H445" i="1"/>
  <c r="G445" i="1"/>
  <c r="F445" i="1"/>
  <c r="D445" i="1"/>
  <c r="I443" i="1"/>
  <c r="H443" i="1"/>
  <c r="I441" i="1"/>
  <c r="H441" i="1"/>
  <c r="G441" i="1"/>
  <c r="F441" i="1"/>
  <c r="D441" i="1"/>
  <c r="I439" i="1"/>
  <c r="H439" i="1"/>
  <c r="I437" i="1"/>
  <c r="H437" i="1"/>
  <c r="G437" i="1"/>
  <c r="F437" i="1"/>
  <c r="D437" i="1"/>
  <c r="I435" i="1"/>
  <c r="H435" i="1"/>
  <c r="I433" i="1"/>
  <c r="H433" i="1"/>
  <c r="G433" i="1"/>
  <c r="F433" i="1"/>
  <c r="D433" i="1"/>
  <c r="I431" i="1"/>
  <c r="H431" i="1"/>
  <c r="I429" i="1"/>
  <c r="H429" i="1"/>
  <c r="G429" i="1"/>
  <c r="F429" i="1"/>
  <c r="D429" i="1"/>
  <c r="I427" i="1"/>
  <c r="H427" i="1"/>
  <c r="I425" i="1"/>
  <c r="H425" i="1"/>
  <c r="G425" i="1"/>
  <c r="F425" i="1"/>
  <c r="D425" i="1"/>
  <c r="I423" i="1"/>
  <c r="H423" i="1"/>
  <c r="I421" i="1"/>
  <c r="H421" i="1"/>
  <c r="G421" i="1"/>
  <c r="F421" i="1"/>
  <c r="D421" i="1"/>
  <c r="I419" i="1"/>
  <c r="H419" i="1"/>
  <c r="I417" i="1"/>
  <c r="H417" i="1"/>
  <c r="G417" i="1"/>
  <c r="F417" i="1"/>
  <c r="D417" i="1"/>
  <c r="I415" i="1"/>
  <c r="H415" i="1"/>
  <c r="I413" i="1"/>
  <c r="H413" i="1"/>
  <c r="G413" i="1"/>
  <c r="F413" i="1"/>
  <c r="D413" i="1"/>
  <c r="I411" i="1"/>
  <c r="H411" i="1"/>
  <c r="I409" i="1"/>
  <c r="H409" i="1"/>
  <c r="G409" i="1"/>
  <c r="F409" i="1"/>
  <c r="D409" i="1"/>
  <c r="I407" i="1"/>
  <c r="H407" i="1"/>
  <c r="I405" i="1"/>
  <c r="H405" i="1"/>
  <c r="G405" i="1"/>
  <c r="F405" i="1"/>
  <c r="D405" i="1"/>
  <c r="I403" i="1"/>
  <c r="H403" i="1"/>
  <c r="I401" i="1"/>
  <c r="H401" i="1"/>
  <c r="G401" i="1"/>
  <c r="F401" i="1"/>
  <c r="D401" i="1"/>
  <c r="I399" i="1"/>
  <c r="H399" i="1"/>
  <c r="I397" i="1"/>
  <c r="H397" i="1"/>
  <c r="G397" i="1"/>
  <c r="F397" i="1"/>
  <c r="D397" i="1"/>
  <c r="I395" i="1"/>
  <c r="H395" i="1"/>
  <c r="I393" i="1"/>
  <c r="H393" i="1"/>
  <c r="G393" i="1"/>
  <c r="F393" i="1"/>
  <c r="D393" i="1"/>
  <c r="I391" i="1"/>
  <c r="H391" i="1"/>
  <c r="I389" i="1"/>
  <c r="H389" i="1"/>
  <c r="G389" i="1"/>
  <c r="F389" i="1"/>
  <c r="D389" i="1"/>
  <c r="I387" i="1"/>
  <c r="H387" i="1"/>
  <c r="I385" i="1"/>
  <c r="H385" i="1"/>
  <c r="G385" i="1"/>
  <c r="F385" i="1"/>
  <c r="D385" i="1"/>
  <c r="I383" i="1"/>
  <c r="H383" i="1"/>
  <c r="I381" i="1"/>
  <c r="H381" i="1"/>
  <c r="G381" i="1"/>
  <c r="F381" i="1"/>
  <c r="D381" i="1"/>
  <c r="I379" i="1"/>
  <c r="H379" i="1"/>
  <c r="I377" i="1"/>
  <c r="H377" i="1"/>
  <c r="G377" i="1"/>
  <c r="F377" i="1"/>
  <c r="D377" i="1"/>
  <c r="I375" i="1"/>
  <c r="H375" i="1"/>
  <c r="I373" i="1"/>
  <c r="H373" i="1"/>
  <c r="G373" i="1"/>
  <c r="F373" i="1"/>
  <c r="D373" i="1"/>
  <c r="I371" i="1"/>
  <c r="H371" i="1"/>
  <c r="I369" i="1"/>
  <c r="H369" i="1"/>
  <c r="G369" i="1"/>
  <c r="F369" i="1"/>
  <c r="D369" i="1"/>
  <c r="I367" i="1"/>
  <c r="H367" i="1"/>
  <c r="I365" i="1"/>
  <c r="H365" i="1"/>
  <c r="G365" i="1"/>
  <c r="F365" i="1"/>
  <c r="D365" i="1"/>
  <c r="I363" i="1"/>
  <c r="H363" i="1"/>
  <c r="I361" i="1"/>
  <c r="H361" i="1"/>
  <c r="G361" i="1"/>
  <c r="F361" i="1"/>
  <c r="D361" i="1"/>
  <c r="I359" i="1"/>
  <c r="H359" i="1"/>
  <c r="I357" i="1"/>
  <c r="H357" i="1"/>
  <c r="G357" i="1"/>
  <c r="F357" i="1"/>
  <c r="D357" i="1"/>
  <c r="I355" i="1"/>
  <c r="H355" i="1"/>
  <c r="I353" i="1"/>
  <c r="H353" i="1"/>
  <c r="G353" i="1"/>
  <c r="F353" i="1"/>
  <c r="D353" i="1"/>
  <c r="I351" i="1"/>
  <c r="H351" i="1"/>
  <c r="I349" i="1"/>
  <c r="H349" i="1"/>
  <c r="G349" i="1"/>
  <c r="F349" i="1"/>
  <c r="D349" i="1"/>
  <c r="I347" i="1"/>
  <c r="H347" i="1"/>
  <c r="I345" i="1"/>
  <c r="H345" i="1"/>
  <c r="G345" i="1"/>
  <c r="F345" i="1"/>
  <c r="D345" i="1"/>
  <c r="I343" i="1"/>
  <c r="H343" i="1"/>
  <c r="I341" i="1"/>
  <c r="H341" i="1"/>
  <c r="G341" i="1"/>
  <c r="F341" i="1"/>
  <c r="D341" i="1"/>
  <c r="I339" i="1"/>
  <c r="H339" i="1"/>
  <c r="I337" i="1"/>
  <c r="H337" i="1"/>
  <c r="G337" i="1"/>
  <c r="F337" i="1"/>
  <c r="D337" i="1"/>
  <c r="I335" i="1"/>
  <c r="H335" i="1"/>
  <c r="I333" i="1"/>
  <c r="H333" i="1"/>
  <c r="G333" i="1"/>
  <c r="F333" i="1"/>
  <c r="D333" i="1"/>
  <c r="I331" i="1"/>
  <c r="H331" i="1"/>
  <c r="I329" i="1"/>
  <c r="H329" i="1"/>
  <c r="G329" i="1"/>
  <c r="F329" i="1"/>
  <c r="D329" i="1"/>
  <c r="I327" i="1"/>
  <c r="H327" i="1"/>
  <c r="I325" i="1"/>
  <c r="H325" i="1"/>
  <c r="G325" i="1"/>
  <c r="F325" i="1"/>
  <c r="D325" i="1"/>
  <c r="I323" i="1"/>
  <c r="H323" i="1"/>
  <c r="I321" i="1"/>
  <c r="H321" i="1"/>
  <c r="G321" i="1"/>
  <c r="F321" i="1"/>
  <c r="D321" i="1"/>
  <c r="I319" i="1"/>
  <c r="H319" i="1"/>
  <c r="I317" i="1"/>
  <c r="H317" i="1"/>
  <c r="G317" i="1"/>
  <c r="F317" i="1"/>
  <c r="D317" i="1"/>
  <c r="I315" i="1"/>
  <c r="H315" i="1"/>
  <c r="I313" i="1"/>
  <c r="H313" i="1"/>
  <c r="G313" i="1"/>
  <c r="F313" i="1"/>
  <c r="D313" i="1"/>
  <c r="I311" i="1"/>
  <c r="H311" i="1"/>
  <c r="I309" i="1"/>
  <c r="H309" i="1"/>
  <c r="G309" i="1"/>
  <c r="F309" i="1"/>
  <c r="D309" i="1"/>
  <c r="I307" i="1"/>
  <c r="H307" i="1"/>
  <c r="I305" i="1"/>
  <c r="H305" i="1"/>
  <c r="G305" i="1"/>
  <c r="F305" i="1"/>
  <c r="D305" i="1"/>
  <c r="I303" i="1"/>
  <c r="H303" i="1"/>
  <c r="I301" i="1"/>
  <c r="H301" i="1"/>
  <c r="G301" i="1"/>
  <c r="F301" i="1"/>
  <c r="D301" i="1"/>
  <c r="I299" i="1"/>
  <c r="H299" i="1"/>
  <c r="I297" i="1"/>
  <c r="H297" i="1"/>
  <c r="G297" i="1"/>
  <c r="F297" i="1"/>
  <c r="D297" i="1"/>
  <c r="I295" i="1"/>
  <c r="H295" i="1"/>
  <c r="I293" i="1"/>
  <c r="H293" i="1"/>
  <c r="G293" i="1"/>
  <c r="F293" i="1"/>
  <c r="D293" i="1"/>
  <c r="I291" i="1"/>
  <c r="H291" i="1"/>
  <c r="I289" i="1"/>
  <c r="H289" i="1"/>
  <c r="G289" i="1"/>
  <c r="F289" i="1"/>
  <c r="D289" i="1"/>
  <c r="I287" i="1"/>
  <c r="H287" i="1"/>
  <c r="I285" i="1"/>
  <c r="H285" i="1"/>
  <c r="G285" i="1"/>
  <c r="F285" i="1"/>
  <c r="D285" i="1"/>
  <c r="I283" i="1"/>
  <c r="H283" i="1"/>
  <c r="I281" i="1"/>
  <c r="H281" i="1"/>
  <c r="G281" i="1"/>
  <c r="F281" i="1"/>
  <c r="D281" i="1"/>
  <c r="I279" i="1"/>
  <c r="H279" i="1"/>
  <c r="I277" i="1"/>
  <c r="H277" i="1"/>
  <c r="G277" i="1"/>
  <c r="F277" i="1"/>
  <c r="D277" i="1"/>
  <c r="I275" i="1"/>
  <c r="H275" i="1"/>
  <c r="I273" i="1"/>
  <c r="H273" i="1"/>
  <c r="G273" i="1"/>
  <c r="F273" i="1"/>
  <c r="D273" i="1"/>
  <c r="I271" i="1"/>
  <c r="H271" i="1"/>
  <c r="I269" i="1"/>
  <c r="H269" i="1"/>
  <c r="G269" i="1"/>
  <c r="F269" i="1"/>
  <c r="D269" i="1"/>
  <c r="I267" i="1"/>
  <c r="H267" i="1"/>
  <c r="I265" i="1"/>
  <c r="H265" i="1"/>
  <c r="G265" i="1"/>
  <c r="F265" i="1"/>
  <c r="D265" i="1"/>
  <c r="I263" i="1"/>
  <c r="H263" i="1"/>
  <c r="I261" i="1"/>
  <c r="H261" i="1"/>
  <c r="G261" i="1"/>
  <c r="F261" i="1"/>
  <c r="D261" i="1"/>
  <c r="I259" i="1"/>
  <c r="H259" i="1"/>
  <c r="I257" i="1"/>
  <c r="H257" i="1"/>
  <c r="G257" i="1"/>
  <c r="F257" i="1"/>
  <c r="D257" i="1"/>
  <c r="I255" i="1"/>
  <c r="H255" i="1"/>
  <c r="I253" i="1"/>
  <c r="H253" i="1"/>
  <c r="G253" i="1"/>
  <c r="F253" i="1"/>
  <c r="D253" i="1"/>
  <c r="I251" i="1"/>
  <c r="H251" i="1"/>
  <c r="I249" i="1"/>
  <c r="H249" i="1"/>
  <c r="G249" i="1"/>
  <c r="F249" i="1"/>
  <c r="D249" i="1"/>
  <c r="I247" i="1"/>
  <c r="H247" i="1"/>
  <c r="I245" i="1"/>
  <c r="H245" i="1"/>
  <c r="G245" i="1"/>
  <c r="F245" i="1"/>
  <c r="D245" i="1"/>
  <c r="I243" i="1"/>
  <c r="H243" i="1"/>
  <c r="I241" i="1"/>
  <c r="H241" i="1"/>
  <c r="G241" i="1"/>
  <c r="F241" i="1"/>
  <c r="D241" i="1"/>
  <c r="I239" i="1"/>
  <c r="H239" i="1"/>
  <c r="I237" i="1"/>
  <c r="H237" i="1"/>
  <c r="G237" i="1"/>
  <c r="F237" i="1"/>
  <c r="D237" i="1"/>
  <c r="I235" i="1"/>
  <c r="H235" i="1"/>
  <c r="I233" i="1"/>
  <c r="H233" i="1"/>
  <c r="G233" i="1"/>
  <c r="F233" i="1"/>
  <c r="D233" i="1"/>
  <c r="I231" i="1"/>
  <c r="H231" i="1"/>
  <c r="I229" i="1"/>
  <c r="H229" i="1"/>
  <c r="G229" i="1"/>
  <c r="F229" i="1"/>
  <c r="D229" i="1"/>
  <c r="I227" i="1"/>
  <c r="H227" i="1"/>
  <c r="I225" i="1"/>
  <c r="H225" i="1"/>
  <c r="G225" i="1"/>
  <c r="F225" i="1"/>
  <c r="D225" i="1"/>
  <c r="I223" i="1"/>
  <c r="H223" i="1"/>
  <c r="I221" i="1"/>
  <c r="H221" i="1"/>
  <c r="G221" i="1"/>
  <c r="F221" i="1"/>
  <c r="D221" i="1"/>
  <c r="I219" i="1"/>
  <c r="H219" i="1"/>
  <c r="I217" i="1"/>
  <c r="H217" i="1"/>
  <c r="G217" i="1"/>
  <c r="F217" i="1"/>
  <c r="D217" i="1"/>
  <c r="I215" i="1"/>
  <c r="H215" i="1"/>
  <c r="I213" i="1"/>
  <c r="H213" i="1"/>
  <c r="G213" i="1"/>
  <c r="F213" i="1"/>
  <c r="D213" i="1"/>
  <c r="I211" i="1"/>
  <c r="H211" i="1"/>
  <c r="I209" i="1"/>
  <c r="H209" i="1"/>
  <c r="G209" i="1"/>
  <c r="F209" i="1"/>
  <c r="D209" i="1"/>
  <c r="I207" i="1"/>
  <c r="H207" i="1"/>
  <c r="I205" i="1"/>
  <c r="H205" i="1"/>
  <c r="G205" i="1"/>
  <c r="F205" i="1"/>
  <c r="D205" i="1"/>
  <c r="I203" i="1"/>
  <c r="H203" i="1"/>
  <c r="I201" i="1"/>
  <c r="H201" i="1"/>
  <c r="G201" i="1"/>
  <c r="F201" i="1"/>
  <c r="D201" i="1"/>
  <c r="I199" i="1"/>
  <c r="H199" i="1"/>
  <c r="I197" i="1"/>
  <c r="H197" i="1"/>
  <c r="G197" i="1"/>
  <c r="F197" i="1"/>
  <c r="D197" i="1"/>
  <c r="I195" i="1"/>
  <c r="H195" i="1"/>
  <c r="I193" i="1"/>
  <c r="H193" i="1"/>
  <c r="G193" i="1"/>
  <c r="F193" i="1"/>
  <c r="D193" i="1"/>
  <c r="I191" i="1"/>
  <c r="H191" i="1"/>
  <c r="I189" i="1"/>
  <c r="H189" i="1"/>
  <c r="G189" i="1"/>
  <c r="F189" i="1"/>
  <c r="D189" i="1"/>
  <c r="I187" i="1"/>
  <c r="H187" i="1"/>
  <c r="I185" i="1"/>
  <c r="H185" i="1"/>
  <c r="G185" i="1"/>
  <c r="F185" i="1"/>
  <c r="D185" i="1"/>
  <c r="I183" i="1"/>
  <c r="H183" i="1"/>
  <c r="I181" i="1"/>
  <c r="H181" i="1"/>
  <c r="G181" i="1"/>
  <c r="F181" i="1"/>
  <c r="D181" i="1"/>
  <c r="I179" i="1"/>
  <c r="H179" i="1"/>
  <c r="I177" i="1"/>
  <c r="H177" i="1"/>
  <c r="G177" i="1"/>
  <c r="F177" i="1"/>
  <c r="D177" i="1"/>
  <c r="I175" i="1"/>
  <c r="H175" i="1"/>
  <c r="I174" i="1"/>
  <c r="H174" i="1"/>
  <c r="I172" i="1"/>
  <c r="H172" i="1"/>
  <c r="G172" i="1"/>
  <c r="F172" i="1"/>
  <c r="D172" i="1"/>
  <c r="I170" i="1"/>
  <c r="H170" i="1"/>
  <c r="I168" i="1"/>
  <c r="H168" i="1"/>
  <c r="G168" i="1"/>
  <c r="F168" i="1"/>
  <c r="D168" i="1"/>
  <c r="I166" i="1"/>
  <c r="H166" i="1"/>
  <c r="I164" i="1"/>
  <c r="H164" i="1"/>
  <c r="G164" i="1"/>
  <c r="F164" i="1"/>
  <c r="D164" i="1"/>
  <c r="I162" i="1"/>
  <c r="H162" i="1"/>
  <c r="I160" i="1"/>
  <c r="H160" i="1"/>
  <c r="G160" i="1"/>
  <c r="F160" i="1"/>
  <c r="D160" i="1"/>
  <c r="I158" i="1"/>
  <c r="H158" i="1"/>
  <c r="I156" i="1"/>
  <c r="H156" i="1"/>
  <c r="G156" i="1"/>
  <c r="F156" i="1"/>
  <c r="D156" i="1"/>
  <c r="I154" i="1"/>
  <c r="H154" i="1"/>
  <c r="I152" i="1"/>
  <c r="H152" i="1"/>
  <c r="G152" i="1"/>
  <c r="F152" i="1"/>
  <c r="D152" i="1"/>
  <c r="I150" i="1"/>
  <c r="H150" i="1"/>
  <c r="I148" i="1"/>
  <c r="H148" i="1"/>
  <c r="G148" i="1"/>
  <c r="F148" i="1"/>
  <c r="D148" i="1"/>
  <c r="I146" i="1"/>
  <c r="H146" i="1"/>
  <c r="I144" i="1"/>
  <c r="H144" i="1"/>
  <c r="G144" i="1"/>
  <c r="F144" i="1"/>
  <c r="D144" i="1"/>
  <c r="I142" i="1"/>
  <c r="H142" i="1"/>
  <c r="I140" i="1"/>
  <c r="H140" i="1"/>
  <c r="G140" i="1"/>
  <c r="F140" i="1"/>
  <c r="D140" i="1"/>
  <c r="I138" i="1"/>
  <c r="H138" i="1"/>
  <c r="I136" i="1"/>
  <c r="H136" i="1"/>
  <c r="G136" i="1"/>
  <c r="F136" i="1"/>
  <c r="D136" i="1"/>
  <c r="I134" i="1"/>
  <c r="H134" i="1"/>
  <c r="I132" i="1"/>
  <c r="H132" i="1"/>
  <c r="G132" i="1"/>
  <c r="F132" i="1"/>
  <c r="D132" i="1"/>
  <c r="I130" i="1"/>
  <c r="H130" i="1"/>
  <c r="I128" i="1"/>
  <c r="H128" i="1"/>
  <c r="G128" i="1"/>
  <c r="F128" i="1"/>
  <c r="D128" i="1"/>
  <c r="I126" i="1"/>
  <c r="H126" i="1"/>
  <c r="I124" i="1"/>
  <c r="H124" i="1"/>
  <c r="G124" i="1"/>
  <c r="F124" i="1"/>
  <c r="D124" i="1"/>
  <c r="I122" i="1"/>
  <c r="H122" i="1"/>
  <c r="I120" i="1"/>
  <c r="H120" i="1"/>
  <c r="G120" i="1"/>
  <c r="F120" i="1"/>
  <c r="D120" i="1"/>
  <c r="I118" i="1"/>
  <c r="H118" i="1"/>
  <c r="I116" i="1"/>
  <c r="H116" i="1"/>
  <c r="G116" i="1"/>
  <c r="F116" i="1"/>
  <c r="D116" i="1"/>
  <c r="I114" i="1"/>
  <c r="H114" i="1"/>
  <c r="I112" i="1"/>
  <c r="H112" i="1"/>
  <c r="G112" i="1"/>
  <c r="F112" i="1"/>
  <c r="D112" i="1"/>
  <c r="I110" i="1"/>
  <c r="H110" i="1"/>
  <c r="I108" i="1"/>
  <c r="H108" i="1"/>
  <c r="G108" i="1"/>
  <c r="F108" i="1"/>
  <c r="D108" i="1"/>
  <c r="I106" i="1"/>
  <c r="H106" i="1"/>
  <c r="I104" i="1"/>
  <c r="H104" i="1"/>
  <c r="G104" i="1"/>
  <c r="F104" i="1"/>
  <c r="D104" i="1"/>
  <c r="I102" i="1"/>
  <c r="H102" i="1"/>
  <c r="I100" i="1"/>
  <c r="H100" i="1"/>
  <c r="G100" i="1"/>
  <c r="F100" i="1"/>
  <c r="D100" i="1"/>
  <c r="I98" i="1"/>
  <c r="H98" i="1"/>
  <c r="I96" i="1"/>
  <c r="H96" i="1"/>
  <c r="G96" i="1"/>
  <c r="F96" i="1"/>
  <c r="D96" i="1"/>
  <c r="I94" i="1"/>
  <c r="H94" i="1"/>
  <c r="I92" i="1"/>
  <c r="H92" i="1"/>
  <c r="G92" i="1"/>
  <c r="F92" i="1"/>
  <c r="D92" i="1"/>
  <c r="I90" i="1"/>
  <c r="H90" i="1"/>
  <c r="I88" i="1"/>
  <c r="H88" i="1"/>
  <c r="G88" i="1"/>
  <c r="F88" i="1"/>
  <c r="D88" i="1"/>
  <c r="I86" i="1"/>
  <c r="H86" i="1"/>
  <c r="I84" i="1"/>
  <c r="H84" i="1"/>
  <c r="G84" i="1"/>
  <c r="F84" i="1"/>
  <c r="D84" i="1"/>
  <c r="I82" i="1"/>
  <c r="H82" i="1"/>
  <c r="I80" i="1"/>
  <c r="H80" i="1"/>
  <c r="G80" i="1"/>
  <c r="F80" i="1"/>
  <c r="D80" i="1"/>
  <c r="I78" i="1"/>
  <c r="H78" i="1"/>
  <c r="I76" i="1"/>
  <c r="H76" i="1"/>
  <c r="G76" i="1"/>
  <c r="F76" i="1"/>
  <c r="D76" i="1"/>
  <c r="I74" i="1"/>
  <c r="H74" i="1"/>
  <c r="I72" i="1"/>
  <c r="H72" i="1"/>
  <c r="G72" i="1"/>
  <c r="F72" i="1"/>
  <c r="D72" i="1"/>
  <c r="I70" i="1"/>
  <c r="H70" i="1"/>
  <c r="I68" i="1"/>
  <c r="H68" i="1"/>
  <c r="G68" i="1"/>
  <c r="F68" i="1"/>
  <c r="D68" i="1"/>
  <c r="I66" i="1"/>
  <c r="H66" i="1"/>
  <c r="I64" i="1"/>
  <c r="H64" i="1"/>
  <c r="G64" i="1"/>
  <c r="F64" i="1"/>
  <c r="D64" i="1"/>
  <c r="I62" i="1"/>
  <c r="H62" i="1"/>
  <c r="I60" i="1"/>
  <c r="H60" i="1"/>
  <c r="G60" i="1"/>
  <c r="F60" i="1"/>
  <c r="D60" i="1"/>
  <c r="I58" i="1"/>
  <c r="H58" i="1"/>
  <c r="I56" i="1"/>
  <c r="H56" i="1"/>
  <c r="G56" i="1"/>
  <c r="F56" i="1"/>
  <c r="D56" i="1"/>
  <c r="I54" i="1"/>
  <c r="H54" i="1"/>
  <c r="I52" i="1"/>
  <c r="H52" i="1"/>
  <c r="G52" i="1"/>
  <c r="F52" i="1"/>
  <c r="D52" i="1"/>
  <c r="I50" i="1"/>
  <c r="H50" i="1"/>
  <c r="I48" i="1"/>
  <c r="H48" i="1"/>
  <c r="G48" i="1"/>
  <c r="F48" i="1"/>
  <c r="D48" i="1"/>
  <c r="I46" i="1"/>
  <c r="H46" i="1"/>
  <c r="I44" i="1"/>
  <c r="H44" i="1"/>
  <c r="G44" i="1"/>
  <c r="F44" i="1"/>
  <c r="D44" i="1"/>
  <c r="I42" i="1"/>
  <c r="H42" i="1"/>
  <c r="I40" i="1"/>
  <c r="H40" i="1"/>
  <c r="G40" i="1"/>
  <c r="F40" i="1"/>
  <c r="D40" i="1"/>
  <c r="I38" i="1"/>
  <c r="H38" i="1"/>
  <c r="I36" i="1"/>
  <c r="H36" i="1"/>
  <c r="G36" i="1"/>
  <c r="F36" i="1"/>
  <c r="D36" i="1"/>
  <c r="I34" i="1"/>
  <c r="H34" i="1"/>
  <c r="I32" i="1"/>
  <c r="H32" i="1"/>
  <c r="G32" i="1"/>
  <c r="F32" i="1"/>
  <c r="D32" i="1"/>
  <c r="I30" i="1"/>
  <c r="H30" i="1"/>
  <c r="I28" i="1"/>
  <c r="H28" i="1"/>
  <c r="G28" i="1"/>
  <c r="F28" i="1"/>
  <c r="D28" i="1"/>
  <c r="I26" i="1"/>
  <c r="H26" i="1"/>
  <c r="I24" i="1"/>
  <c r="H24" i="1"/>
  <c r="G24" i="1"/>
  <c r="F24" i="1"/>
  <c r="D24" i="1"/>
  <c r="I22" i="1"/>
  <c r="H22" i="1"/>
  <c r="I20" i="1"/>
  <c r="H20" i="1"/>
  <c r="G20" i="1"/>
  <c r="F20" i="1"/>
  <c r="D20" i="1"/>
  <c r="I18" i="1"/>
  <c r="H18" i="1"/>
  <c r="I16" i="1"/>
  <c r="H16" i="1"/>
  <c r="G16" i="1"/>
  <c r="F16" i="1"/>
  <c r="D16" i="1"/>
  <c r="I14" i="1"/>
  <c r="H14" i="1"/>
  <c r="I12" i="1"/>
  <c r="H12" i="1"/>
  <c r="G12" i="1"/>
  <c r="F12" i="1"/>
  <c r="D12" i="1"/>
  <c r="I10" i="1"/>
  <c r="H10" i="1"/>
  <c r="I8" i="1"/>
  <c r="H8" i="1"/>
  <c r="G8" i="1"/>
  <c r="F8" i="1"/>
  <c r="D8" i="1"/>
  <c r="I6" i="1"/>
  <c r="H6" i="1"/>
  <c r="I4" i="1"/>
  <c r="H4" i="1"/>
  <c r="G4" i="1"/>
  <c r="F4" i="1"/>
  <c r="D4" i="1"/>
  <c r="I2" i="1"/>
  <c r="H2" i="1"/>
</calcChain>
</file>

<file path=xl/sharedStrings.xml><?xml version="1.0" encoding="utf-8"?>
<sst xmlns="http://schemas.openxmlformats.org/spreadsheetml/2006/main" count="3093" uniqueCount="528">
  <si>
    <t>Customer ID</t>
  </si>
  <si>
    <t>Name</t>
  </si>
  <si>
    <t>Item ID</t>
  </si>
  <si>
    <t>Qty</t>
  </si>
  <si>
    <t>Stocking U/M</t>
  </si>
  <si>
    <t>Amount</t>
  </si>
  <si>
    <t>Cost of Sales</t>
  </si>
  <si>
    <t>Gross Profit</t>
  </si>
  <si>
    <t>Gross Margin</t>
  </si>
  <si>
    <t>A15/1/10</t>
  </si>
  <si>
    <t>Mrs Adewoyin Bola</t>
  </si>
  <si>
    <t/>
  </si>
  <si>
    <t>A18/1/13</t>
  </si>
  <si>
    <t>Mrs Osemwenha</t>
  </si>
  <si>
    <t>A187/09</t>
  </si>
  <si>
    <t>Mrs Akinsanya</t>
  </si>
  <si>
    <t>A192/09</t>
  </si>
  <si>
    <t>Effiong Helen</t>
  </si>
  <si>
    <t>A193/09</t>
  </si>
  <si>
    <t>Mrs Naiye Stella</t>
  </si>
  <si>
    <t>A195/09</t>
  </si>
  <si>
    <t>Mrs Lolu-Evereth Nosa</t>
  </si>
  <si>
    <t>A217/09</t>
  </si>
  <si>
    <t>Mrs Fidelis Mbah</t>
  </si>
  <si>
    <t>A224/09</t>
  </si>
  <si>
    <t>Mrs Okeke Joyce</t>
  </si>
  <si>
    <t>A225/09</t>
  </si>
  <si>
    <t>Familugba Progress</t>
  </si>
  <si>
    <t>A23/10</t>
  </si>
  <si>
    <t>Mrs Awoyemi Grace</t>
  </si>
  <si>
    <t>A250/09</t>
  </si>
  <si>
    <t>Mrs Olarewaju Solaboni</t>
  </si>
  <si>
    <t>A251/07</t>
  </si>
  <si>
    <t>Ajayi Oluremi</t>
  </si>
  <si>
    <t>A252/09</t>
  </si>
  <si>
    <t>Mrs Moore  Oji Dora</t>
  </si>
  <si>
    <t>A264/09</t>
  </si>
  <si>
    <t>Mrs Fanny Aanun</t>
  </si>
  <si>
    <t>A273/09</t>
  </si>
  <si>
    <t>Mrs Olukoko Ibironke</t>
  </si>
  <si>
    <t>A274/09</t>
  </si>
  <si>
    <t>Mrs Akanle Taiwo</t>
  </si>
  <si>
    <t>A277/09</t>
  </si>
  <si>
    <t>Mrs Adekunle Ethel</t>
  </si>
  <si>
    <t>A285/09</t>
  </si>
  <si>
    <t>Mrs Odubeko</t>
  </si>
  <si>
    <t>A294/09</t>
  </si>
  <si>
    <t>Mrs Adorade Mercy</t>
  </si>
  <si>
    <t>A304/09</t>
  </si>
  <si>
    <t>Mrs Oshodi Kehinde</t>
  </si>
  <si>
    <t>A317/09</t>
  </si>
  <si>
    <t>Nwawu Gift</t>
  </si>
  <si>
    <t>A322/09</t>
  </si>
  <si>
    <t>Mrs Issah Idowu</t>
  </si>
  <si>
    <t>A324/09</t>
  </si>
  <si>
    <t>Esan Tomilayo</t>
  </si>
  <si>
    <t>A335/09</t>
  </si>
  <si>
    <t>Mrs Ayeni</t>
  </si>
  <si>
    <t>A355/09</t>
  </si>
  <si>
    <t>Mrs Edoh Whsky</t>
  </si>
  <si>
    <t>A5/1/10</t>
  </si>
  <si>
    <t>Mrs Bankole Abiola</t>
  </si>
  <si>
    <t>A75/09</t>
  </si>
  <si>
    <t>Joyce Alausa</t>
  </si>
  <si>
    <t>ALAP/4100/MH</t>
  </si>
  <si>
    <t>Alapo Technical Service</t>
  </si>
  <si>
    <t>CHPR4100/MH</t>
  </si>
  <si>
    <t>CHARRIOT PROPERTY LTD</t>
  </si>
  <si>
    <t>F02/09</t>
  </si>
  <si>
    <t>Master Ademola Damilade</t>
  </si>
  <si>
    <t>F03/01/09</t>
  </si>
  <si>
    <t>Master Seyi Amao Adeboye</t>
  </si>
  <si>
    <t>F09/06</t>
  </si>
  <si>
    <t>Mrs Ojike</t>
  </si>
  <si>
    <t>F100/06</t>
  </si>
  <si>
    <t>Mr Omolade Oluseyi</t>
  </si>
  <si>
    <t>F106/09</t>
  </si>
  <si>
    <t>Mrs Oluchi</t>
  </si>
  <si>
    <t>F110/08</t>
  </si>
  <si>
    <t>Tope Olayinka</t>
  </si>
  <si>
    <t>F122/06</t>
  </si>
  <si>
    <t>Mrs Adedokun Omolola</t>
  </si>
  <si>
    <t>F13/10</t>
  </si>
  <si>
    <t>Miss Oluwatunmise</t>
  </si>
  <si>
    <t>F14/06</t>
  </si>
  <si>
    <t>Mrs Bolaji Ogunde</t>
  </si>
  <si>
    <t>F149/08</t>
  </si>
  <si>
    <t>Miss Akinsami Anuoluwa</t>
  </si>
  <si>
    <t>F16/05</t>
  </si>
  <si>
    <t>Adeoye Family</t>
  </si>
  <si>
    <t>F162/08</t>
  </si>
  <si>
    <t>David Omoshile</t>
  </si>
  <si>
    <t>F172/05</t>
  </si>
  <si>
    <t>Yahaya Mujeed</t>
  </si>
  <si>
    <t>F173/08</t>
  </si>
  <si>
    <t>Miss Bukola</t>
  </si>
  <si>
    <t>F174/05</t>
  </si>
  <si>
    <t>Aeeshat Tijani</t>
  </si>
  <si>
    <t>F192/05</t>
  </si>
  <si>
    <t>Mrs Abiodun</t>
  </si>
  <si>
    <t>F197/08</t>
  </si>
  <si>
    <t>Master Ikechukwu</t>
  </si>
  <si>
    <t>F2/09</t>
  </si>
  <si>
    <t>Busola Ademola</t>
  </si>
  <si>
    <t>F20/1/10</t>
  </si>
  <si>
    <t>Miss Damilolu Obenbe</t>
  </si>
  <si>
    <t>F200/09</t>
  </si>
  <si>
    <t>Raji Tariq</t>
  </si>
  <si>
    <t>F210/08</t>
  </si>
  <si>
    <t>Fayiosim Joy</t>
  </si>
  <si>
    <t>F217/08</t>
  </si>
  <si>
    <t>Ufuoma Atanahwe</t>
  </si>
  <si>
    <t>F225/09</t>
  </si>
  <si>
    <t>Miss Michell Irabor</t>
  </si>
  <si>
    <t>F245/09</t>
  </si>
  <si>
    <t>Master Babatomi</t>
  </si>
  <si>
    <t>F250/09</t>
  </si>
  <si>
    <t>Mis Adebowale</t>
  </si>
  <si>
    <t>F256/06</t>
  </si>
  <si>
    <t>Mrs Lawal</t>
  </si>
  <si>
    <t>F263/06</t>
  </si>
  <si>
    <t>Blessing Achiekwalu</t>
  </si>
  <si>
    <t>F265/09</t>
  </si>
  <si>
    <t>Mrs Idris</t>
  </si>
  <si>
    <t>F275/05</t>
  </si>
  <si>
    <t>Samuel Ugena</t>
  </si>
  <si>
    <t>F28/09</t>
  </si>
  <si>
    <t>Miss Akindele</t>
  </si>
  <si>
    <t>F29/09</t>
  </si>
  <si>
    <t>Dayo Fatunbi</t>
  </si>
  <si>
    <t>F291/06</t>
  </si>
  <si>
    <t>Master Abdulmali</t>
  </si>
  <si>
    <t>F30/07</t>
  </si>
  <si>
    <t>Imam Favour</t>
  </si>
  <si>
    <t>F300/05</t>
  </si>
  <si>
    <t>Mrs Ojo</t>
  </si>
  <si>
    <t>F302/05</t>
  </si>
  <si>
    <t>Ajayi Ifedayo</t>
  </si>
  <si>
    <t>F31/10</t>
  </si>
  <si>
    <t>Baby Omotilewa</t>
  </si>
  <si>
    <t>F310//06</t>
  </si>
  <si>
    <t>Miss Tokunbo Ojikutu</t>
  </si>
  <si>
    <t>F311/05</t>
  </si>
  <si>
    <t>Mr Ayodeji Akinleye</t>
  </si>
  <si>
    <t>F32/10</t>
  </si>
  <si>
    <t>Mr Akinsanya</t>
  </si>
  <si>
    <t>F323/10</t>
  </si>
  <si>
    <t>Fatimoh Abudulai</t>
  </si>
  <si>
    <t>F35/07</t>
  </si>
  <si>
    <t>Egbon Joan</t>
  </si>
  <si>
    <t>F37/08</t>
  </si>
  <si>
    <t>Masi Ndugu</t>
  </si>
  <si>
    <t>F37/09</t>
  </si>
  <si>
    <t>Favour Erayame</t>
  </si>
  <si>
    <t>F37/09/A</t>
  </si>
  <si>
    <t>Luther Erayame</t>
  </si>
  <si>
    <t>F37/10</t>
  </si>
  <si>
    <t>Miss Ojeh Caro</t>
  </si>
  <si>
    <t>F40/06</t>
  </si>
  <si>
    <t>Mrs Umoru</t>
  </si>
  <si>
    <t>F5/09</t>
  </si>
  <si>
    <t>Mr Okikioposu</t>
  </si>
  <si>
    <t>F52/06</t>
  </si>
  <si>
    <t>Mrs Dawuda</t>
  </si>
  <si>
    <t>F6/05</t>
  </si>
  <si>
    <t>Kunle Adeola</t>
  </si>
  <si>
    <t>F65/10</t>
  </si>
  <si>
    <t>Miss Adelaja Funmilayo</t>
  </si>
  <si>
    <t>F8/09</t>
  </si>
  <si>
    <t>Mr Ojufo</t>
  </si>
  <si>
    <t>F80/09</t>
  </si>
  <si>
    <t>Ozioma Ndokwe</t>
  </si>
  <si>
    <t>F81/08</t>
  </si>
  <si>
    <t>Mrs Alim Momoh</t>
  </si>
  <si>
    <t>F86/08</t>
  </si>
  <si>
    <t>Mrs Olasimbo</t>
  </si>
  <si>
    <t>F95/06</t>
  </si>
  <si>
    <t>Emeka Okanpolara</t>
  </si>
  <si>
    <t>FF</t>
  </si>
  <si>
    <t>Oyerinde Samuel</t>
  </si>
  <si>
    <t>FP237</t>
  </si>
  <si>
    <t>Abioye Bridget</t>
  </si>
  <si>
    <t>G/9//1/10</t>
  </si>
  <si>
    <t>Adekunbi Olufunmilayo</t>
  </si>
  <si>
    <t>G01/2010</t>
  </si>
  <si>
    <t>Mr Elias Adebayo</t>
  </si>
  <si>
    <t>G10/08</t>
  </si>
  <si>
    <t>Miss Oshobu Mercy</t>
  </si>
  <si>
    <t>G102/09</t>
  </si>
  <si>
    <t>Mrs Olisakwe</t>
  </si>
  <si>
    <t>G104/10</t>
  </si>
  <si>
    <t>Laisu Jamiu</t>
  </si>
  <si>
    <t>G1111/07</t>
  </si>
  <si>
    <t>Master Sanni Biubaak</t>
  </si>
  <si>
    <t>G1138/09</t>
  </si>
  <si>
    <t>Isoken Ogbebor</t>
  </si>
  <si>
    <t>G1161/08</t>
  </si>
  <si>
    <t>Master Elomale Omovigho</t>
  </si>
  <si>
    <t>G117/10</t>
  </si>
  <si>
    <t>Jonhson Adekunle</t>
  </si>
  <si>
    <t>G120/10</t>
  </si>
  <si>
    <t>Adedokun Joke</t>
  </si>
  <si>
    <t>G123/10</t>
  </si>
  <si>
    <t>Shoneye Abiodun</t>
  </si>
  <si>
    <t>G125/10</t>
  </si>
  <si>
    <t>Mr Ajisafe</t>
  </si>
  <si>
    <t>G128//10</t>
  </si>
  <si>
    <t>Shonibare Rukayat</t>
  </si>
  <si>
    <t>G1306/07</t>
  </si>
  <si>
    <t>Mrs Faleke Bimpe</t>
  </si>
  <si>
    <t>G131/09</t>
  </si>
  <si>
    <t>Ochili Obile</t>
  </si>
  <si>
    <t>G1351/09</t>
  </si>
  <si>
    <t>Ojo Sunmisola</t>
  </si>
  <si>
    <t>G1352/09</t>
  </si>
  <si>
    <t>Ahaji Chimorley</t>
  </si>
  <si>
    <t>G1421/09</t>
  </si>
  <si>
    <t>Mrs Ogundare Omowunmi</t>
  </si>
  <si>
    <t>G1428/08</t>
  </si>
  <si>
    <t>Mrs Imafidon</t>
  </si>
  <si>
    <t>G1464/09</t>
  </si>
  <si>
    <t>Masi Adewoyo</t>
  </si>
  <si>
    <t>G1469/08</t>
  </si>
  <si>
    <t>Master Emeka Kpaduwa</t>
  </si>
  <si>
    <t>G1477/08</t>
  </si>
  <si>
    <t>Master Idris</t>
  </si>
  <si>
    <t>G15/10</t>
  </si>
  <si>
    <t>Thenebo Franklin</t>
  </si>
  <si>
    <t>G1532</t>
  </si>
  <si>
    <t>Miss Shoyemi</t>
  </si>
  <si>
    <t>G1597/08</t>
  </si>
  <si>
    <t>Miss Obi Susan</t>
  </si>
  <si>
    <t>G161/08</t>
  </si>
  <si>
    <t>Mrs Dayo Diya</t>
  </si>
  <si>
    <t>G1612/08</t>
  </si>
  <si>
    <t>Miss Akinrimisi</t>
  </si>
  <si>
    <t>G162/10</t>
  </si>
  <si>
    <t>Daniel Ozor</t>
  </si>
  <si>
    <t>G165/08</t>
  </si>
  <si>
    <t>Master Jaiyesimi</t>
  </si>
  <si>
    <t>G1708/08</t>
  </si>
  <si>
    <t>Master Adekunle</t>
  </si>
  <si>
    <t>G173/10</t>
  </si>
  <si>
    <t>Timothy Oladuni</t>
  </si>
  <si>
    <t>G181/10</t>
  </si>
  <si>
    <t>Adewumi Christiana</t>
  </si>
  <si>
    <t>G253/08</t>
  </si>
  <si>
    <t>Goodluck Eno Obua</t>
  </si>
  <si>
    <t>G33/10</t>
  </si>
  <si>
    <t>Miss Afolabi Marign</t>
  </si>
  <si>
    <t>G37/10</t>
  </si>
  <si>
    <t>Agatha Nwanchukwu</t>
  </si>
  <si>
    <t>G38/10</t>
  </si>
  <si>
    <t>Nwaun Blessing</t>
  </si>
  <si>
    <t>G40/1/10</t>
  </si>
  <si>
    <t>Balogun kemi</t>
  </si>
  <si>
    <t>G42/1/10</t>
  </si>
  <si>
    <t>Odunaiya Motunrayo</t>
  </si>
  <si>
    <t>G53/10</t>
  </si>
  <si>
    <t>Nwaneri Ifeanyi</t>
  </si>
  <si>
    <t>G538/08</t>
  </si>
  <si>
    <t>Master Adisa Damilola</t>
  </si>
  <si>
    <t>G69/10</t>
  </si>
  <si>
    <t>Master Odiee Chinedu</t>
  </si>
  <si>
    <t>G699/08</t>
  </si>
  <si>
    <t>Miss Omonua</t>
  </si>
  <si>
    <t>G815/07</t>
  </si>
  <si>
    <t>Hezekaih Mokwenyi</t>
  </si>
  <si>
    <t>G85/10</t>
  </si>
  <si>
    <t>Mr Emeka</t>
  </si>
  <si>
    <t>G880/07</t>
  </si>
  <si>
    <t>Shonibare Hassan</t>
  </si>
  <si>
    <t>G97/1/10</t>
  </si>
  <si>
    <t>Master Daniel Ogabi</t>
  </si>
  <si>
    <t>G99/UK</t>
  </si>
  <si>
    <t>Miss sharia Ojeifo</t>
  </si>
  <si>
    <t>GM110/09</t>
  </si>
  <si>
    <t>Ogunjimi Cicelia</t>
  </si>
  <si>
    <t>GTB/4300/1C</t>
  </si>
  <si>
    <t>GUARANT TRUST BANK PLC</t>
  </si>
  <si>
    <t>GY09/09</t>
  </si>
  <si>
    <t>Mrs Ebrimson</t>
  </si>
  <si>
    <t>GY12/1/10</t>
  </si>
  <si>
    <t>Mrs Amodu Maria</t>
  </si>
  <si>
    <t>GY55/09</t>
  </si>
  <si>
    <t>Mrs Alemoh Shade</t>
  </si>
  <si>
    <t>GYN02/10</t>
  </si>
  <si>
    <t>Mrs Onibon Kemisola</t>
  </si>
  <si>
    <t>GYN155/09</t>
  </si>
  <si>
    <t>Mrs Obih Grace</t>
  </si>
  <si>
    <t>GYN25/10</t>
  </si>
  <si>
    <t>Abu Kata</t>
  </si>
  <si>
    <t>GYN4/1/10</t>
  </si>
  <si>
    <t>Mrs Oladejo</t>
  </si>
  <si>
    <t>GYN57/09</t>
  </si>
  <si>
    <t>Mrs Obasi M</t>
  </si>
  <si>
    <t>HMO/4050/ACH</t>
  </si>
  <si>
    <t>Achor HealthCare</t>
  </si>
  <si>
    <t>HMO/4050/ALL</t>
  </si>
  <si>
    <t>ALLEANZA HEALTH</t>
  </si>
  <si>
    <t>HMO/4050/AST</t>
  </si>
  <si>
    <t>GREENBAY Health Limited</t>
  </si>
  <si>
    <t>HMO/4050/AVN</t>
  </si>
  <si>
    <t>AVON  HealthCare</t>
  </si>
  <si>
    <t>HMO/4050/BAS</t>
  </si>
  <si>
    <t>BASTION HEALTH</t>
  </si>
  <si>
    <t>HMO/4050/BET</t>
  </si>
  <si>
    <t>BETHSAIDA CARE</t>
  </si>
  <si>
    <t>HMO/4050/CAM</t>
  </si>
  <si>
    <t>Capex Medicare Limited</t>
  </si>
  <si>
    <t>HMO/4050/CEY</t>
  </si>
  <si>
    <t>CECY HMO</t>
  </si>
  <si>
    <t>HMO/4050/CKL</t>
  </si>
  <si>
    <t>CKLINE HEALTHCARE LTD</t>
  </si>
  <si>
    <t>HMO/4050/CLI</t>
  </si>
  <si>
    <t>Clearline Internatinal Limited</t>
  </si>
  <si>
    <t>HMO/4050/DIS</t>
  </si>
  <si>
    <t>Distinct Health</t>
  </si>
  <si>
    <t>HMO/4050/DMD</t>
  </si>
  <si>
    <t>Daimond Shield Limited</t>
  </si>
  <si>
    <t>HMO/4050/DOH</t>
  </si>
  <si>
    <t>DOHEEC  Health</t>
  </si>
  <si>
    <t>HMO/4050/DOT</t>
  </si>
  <si>
    <t>DOT HEALTH</t>
  </si>
  <si>
    <t>HMO/4050/EXH</t>
  </si>
  <si>
    <t>Expatcarehealth International</t>
  </si>
  <si>
    <t>HMO/4050/FHL</t>
  </si>
  <si>
    <t>FOUNTAIN HEALTHCARE LLimited</t>
  </si>
  <si>
    <t>HMO/4050/FPK</t>
  </si>
  <si>
    <t>FIRST PEAK HMO LLimited</t>
  </si>
  <si>
    <t>HMO/4050/GH</t>
  </si>
  <si>
    <t>GUARDIAN HEALTHCARE LTD</t>
  </si>
  <si>
    <t>HMO/4050/GNI</t>
  </si>
  <si>
    <t>GNI HEALTHCARELTD</t>
  </si>
  <si>
    <t>HMO/4050/GOR</t>
  </si>
  <si>
    <t>GORAH  HEALTH</t>
  </si>
  <si>
    <t>HMO/4050/HAL</t>
  </si>
  <si>
    <t>HALLMARK HEALTH SERVICE</t>
  </si>
  <si>
    <t>HMO/4050/HCI</t>
  </si>
  <si>
    <t>HEALTHCARE INTERNATIONAL</t>
  </si>
  <si>
    <t>HMO/4050/HPL</t>
  </si>
  <si>
    <t>Health Partners Limited</t>
  </si>
  <si>
    <t>HMO/4050/HYG</t>
  </si>
  <si>
    <t>HYGEIA HMO Limited</t>
  </si>
  <si>
    <t>HMO/4050/IHM</t>
  </si>
  <si>
    <t>IHMS Health  Limited</t>
  </si>
  <si>
    <t>HMO/4050/IMV</t>
  </si>
  <si>
    <t>WELLNES HEALTH Limited</t>
  </si>
  <si>
    <t>HMO/4050/IVE</t>
  </si>
  <si>
    <t>IVES MEDICALLimited</t>
  </si>
  <si>
    <t>HMO/4050/KEN</t>
  </si>
  <si>
    <t>KENNEDIA HMO</t>
  </si>
  <si>
    <t>HMO/4050/LBL</t>
  </si>
  <si>
    <t>LIBERTY BLUE LIMITED</t>
  </si>
  <si>
    <t>HMO/4050/LCP</t>
  </si>
  <si>
    <t>Life Care Partner</t>
  </si>
  <si>
    <t>HMO/4050/LED</t>
  </si>
  <si>
    <t>MEDDIFIELD Limited</t>
  </si>
  <si>
    <t>HMO/4050/LEF</t>
  </si>
  <si>
    <t>Life Action plus</t>
  </si>
  <si>
    <t>HMO/4050/LEW</t>
  </si>
  <si>
    <t>LEADWAY HEALTH</t>
  </si>
  <si>
    <t>HMO/4050/LIF</t>
  </si>
  <si>
    <t>LIFEWORH HEALTH</t>
  </si>
  <si>
    <t>HMO/4050/MAN</t>
  </si>
  <si>
    <t>MANSARD HMO</t>
  </si>
  <si>
    <t>HMO/4050/MAR</t>
  </si>
  <si>
    <t>MARINA MEDICAL</t>
  </si>
  <si>
    <t>HMO/4050/MED</t>
  </si>
  <si>
    <t>MEDIPLAN HEALTHCARE LTD</t>
  </si>
  <si>
    <t>HMO/4050/MEX</t>
  </si>
  <si>
    <t>MEDEXIA Limited</t>
  </si>
  <si>
    <t>HMO/4050/MHH</t>
  </si>
  <si>
    <t>MH Healthcare Limited</t>
  </si>
  <si>
    <t>HMO/4050/MHS</t>
  </si>
  <si>
    <t>Managed Healthcare Services Li</t>
  </si>
  <si>
    <t>HMO/4050/MSL</t>
  </si>
  <si>
    <t>Multisheild Limited</t>
  </si>
  <si>
    <t>HMO/4050/NEM</t>
  </si>
  <si>
    <t>NEM Health</t>
  </si>
  <si>
    <t>HMO/4050/NIG</t>
  </si>
  <si>
    <t>NIGERBEV HEALTH</t>
  </si>
  <si>
    <t>HMO/4050/NNP</t>
  </si>
  <si>
    <t>NNPC  HEALTH</t>
  </si>
  <si>
    <t>HMO/4050/NNPC</t>
  </si>
  <si>
    <t>INGH BAY HMO</t>
  </si>
  <si>
    <t>HMO/4050/NON</t>
  </si>
  <si>
    <t>NONSUCH Health</t>
  </si>
  <si>
    <t>HMO/4050/NOV</t>
  </si>
  <si>
    <t>NOVO Health</t>
  </si>
  <si>
    <t>HMO/4050/OCH</t>
  </si>
  <si>
    <t>Oceanic Health Management Limi</t>
  </si>
  <si>
    <t>HMO/4050/PHB</t>
  </si>
  <si>
    <t>KBL Healthcare Limited</t>
  </si>
  <si>
    <t>HMO/4050/PRC</t>
  </si>
  <si>
    <t>PRECIOUS HEALTH CARE</t>
  </si>
  <si>
    <t>HMO/4050/PRE</t>
  </si>
  <si>
    <t>PHILIPS HEALTH</t>
  </si>
  <si>
    <t>HMO/4050/PRO</t>
  </si>
  <si>
    <t>PRO Health Limited</t>
  </si>
  <si>
    <t>HMO/4050/RAP</t>
  </si>
  <si>
    <t>RAPORT Health Care</t>
  </si>
  <si>
    <t>HMO/4050/REG</t>
  </si>
  <si>
    <t>REGENIX HealthCare</t>
  </si>
  <si>
    <t>HMO/4050/REL</t>
  </si>
  <si>
    <t>RELIANCE HMO</t>
  </si>
  <si>
    <t>HMO/4050/RHS</t>
  </si>
  <si>
    <t>Redcare Health Services Limite</t>
  </si>
  <si>
    <t>HMO/4050/RHS/URL</t>
  </si>
  <si>
    <t>HMO/4050/ROD</t>
  </si>
  <si>
    <t>Roding Medical Centre</t>
  </si>
  <si>
    <t>HMO/4050/RON</t>
  </si>
  <si>
    <t>RONSBERGER Health Care</t>
  </si>
  <si>
    <t>HMO/4050/ROT</t>
  </si>
  <si>
    <t>ROTHAUGE HEALTHCARE LTD</t>
  </si>
  <si>
    <t>HMO/4050/ROY</t>
  </si>
  <si>
    <t>ROYAL EXCHANGE</t>
  </si>
  <si>
    <t>HMO/4050/SAL</t>
  </si>
  <si>
    <t>Salus Trust Limited</t>
  </si>
  <si>
    <t>HMO/4050/SMT</t>
  </si>
  <si>
    <t>SMAT HEALTH</t>
  </si>
  <si>
    <t>HMO/4050/SNN</t>
  </si>
  <si>
    <t>SUNU HEALTH LTD</t>
  </si>
  <si>
    <t>HMO/4050/SUN</t>
  </si>
  <si>
    <t>HMO SUNDRY</t>
  </si>
  <si>
    <t>HMO/4050/SWF</t>
  </si>
  <si>
    <t>SWIFT HMO Limited</t>
  </si>
  <si>
    <t>HMO/4050/THE</t>
  </si>
  <si>
    <t>THEBE Med Wellness Services</t>
  </si>
  <si>
    <t>HMO/4050/WEL</t>
  </si>
  <si>
    <t>WELPRO Limited</t>
  </si>
  <si>
    <t>HOL/4100/M</t>
  </si>
  <si>
    <t>Holdman Dot Nigerial Limited</t>
  </si>
  <si>
    <t>JHG4100MH</t>
  </si>
  <si>
    <t>John Hott Limited</t>
  </si>
  <si>
    <t>MMD/4100/MH</t>
  </si>
  <si>
    <t>MOTT MACDONALD NIG.LTD</t>
  </si>
  <si>
    <t>MUT/4300/OI</t>
  </si>
  <si>
    <t>MUTUAL BENEFIT ASSURANCE</t>
  </si>
  <si>
    <t>NHIS/4050/BET</t>
  </si>
  <si>
    <t>BEAT HEALTH VENTURES</t>
  </si>
  <si>
    <t>NHIS/4050/CLI</t>
  </si>
  <si>
    <t>CLEARLINE HEALTH</t>
  </si>
  <si>
    <t>NHIS/4050/EXP</t>
  </si>
  <si>
    <t>EXPERTCARE HEALTH</t>
  </si>
  <si>
    <t>NHIS/4050/IGT</t>
  </si>
  <si>
    <t>INTEGRATED HEALTH</t>
  </si>
  <si>
    <t>NHIS/4050/IHM</t>
  </si>
  <si>
    <t>NHIS/4050/INT</t>
  </si>
  <si>
    <t>HEALTH INTERNATIONAL</t>
  </si>
  <si>
    <t>NHIS/4050/MHS</t>
  </si>
  <si>
    <t>MANAGED HEALTHCARE</t>
  </si>
  <si>
    <t>NHIS/4050/NNP</t>
  </si>
  <si>
    <t>NNPS HEALTH</t>
  </si>
  <si>
    <t>NHIS/4050/NON</t>
  </si>
  <si>
    <t>NONSUCH HEALTH</t>
  </si>
  <si>
    <t>NHIS/4050/PRE</t>
  </si>
  <si>
    <t>PREMIER MEDICAID</t>
  </si>
  <si>
    <t>NHIS/4050/PRI</t>
  </si>
  <si>
    <t>PRINCETON HEALTH</t>
  </si>
  <si>
    <t>NHIS/4050/RED</t>
  </si>
  <si>
    <t>REDCARE HMO</t>
  </si>
  <si>
    <t>NHIS/4050/SON</t>
  </si>
  <si>
    <t>SONGHAI HEALTH</t>
  </si>
  <si>
    <t>NHIS/4050/SUN</t>
  </si>
  <si>
    <t>SUNDRY NHIS FIDELITY</t>
  </si>
  <si>
    <t>NHIS/4050/ULT</t>
  </si>
  <si>
    <t>ULTIMATE HEALTH</t>
  </si>
  <si>
    <t>NHIS/4050/UNI</t>
  </si>
  <si>
    <t>UNITED HEALTH</t>
  </si>
  <si>
    <t>NHIS4050/HCL</t>
  </si>
  <si>
    <t>HCL HEALTHCARE LIMITED</t>
  </si>
  <si>
    <t>NHIS4050/HYG</t>
  </si>
  <si>
    <t>HYGEA HMO</t>
  </si>
  <si>
    <t>NHIS4050/LBL</t>
  </si>
  <si>
    <t>TOTAL HEALH TRUST LIMITED</t>
  </si>
  <si>
    <t>NHIS4050/MAN</t>
  </si>
  <si>
    <t>MANSARD HMO LIMITED</t>
  </si>
  <si>
    <t>NHIS4050/MAR</t>
  </si>
  <si>
    <t>MARKFEMA HMO LIMITED</t>
  </si>
  <si>
    <t>NHIS4050/MED</t>
  </si>
  <si>
    <t>MEDIPLAN HMO LIMITED</t>
  </si>
  <si>
    <t>NHIS4050/MULN</t>
  </si>
  <si>
    <t>MULTISHIELD HMO LIMITED</t>
  </si>
  <si>
    <t>NHIS4050/POLICE</t>
  </si>
  <si>
    <t>PPLICE HEALTH</t>
  </si>
  <si>
    <t>NHIS4050/SALUS</t>
  </si>
  <si>
    <t>SALUS HEALTHCARE LIMITED</t>
  </si>
  <si>
    <t>NHIS4050/SUNU</t>
  </si>
  <si>
    <t>SUNUL HEALTHCARE LIMITED</t>
  </si>
  <si>
    <t>NHIS4050/UNB</t>
  </si>
  <si>
    <t>UNITY BANK</t>
  </si>
  <si>
    <t>NHIS4050/UNIT</t>
  </si>
  <si>
    <t>UNITED COMPREHENSIVE</t>
  </si>
  <si>
    <t>NHIS4050/WELN</t>
  </si>
  <si>
    <t>WELNESS HMO LIMITED</t>
  </si>
  <si>
    <t>NIGE/4100/MH</t>
  </si>
  <si>
    <t>NIGERIAN MARITINE COP</t>
  </si>
  <si>
    <t>PDEL/4100/MH</t>
  </si>
  <si>
    <t>DELIGHTFUL AFFAIARS</t>
  </si>
  <si>
    <t>PGOV/4100/MH</t>
  </si>
  <si>
    <t>GOLD VALLEY SCHOOL</t>
  </si>
  <si>
    <t>PLACE/4100/MH</t>
  </si>
  <si>
    <t>PLACEWARE NIG LTD</t>
  </si>
  <si>
    <t>PNAM/4100/MH</t>
  </si>
  <si>
    <t>Nampak Nigeria PLC</t>
  </si>
  <si>
    <t>PRMS/4100/MH</t>
  </si>
  <si>
    <t>TNS-RMS  Limited</t>
  </si>
  <si>
    <t>PRO/4100/MH</t>
  </si>
  <si>
    <t>PRO EKWUEME</t>
  </si>
  <si>
    <t>RAEL/4100/MH</t>
  </si>
  <si>
    <t>REAL Pharmacy Limited</t>
  </si>
  <si>
    <t>RME/4100/MH</t>
  </si>
  <si>
    <t>ROYAN MEDICAL ENT. UROLOGY</t>
  </si>
  <si>
    <t>RMS110</t>
  </si>
  <si>
    <t>Mrs Oladimeji</t>
  </si>
  <si>
    <t>SCAN/4100/MH</t>
  </si>
  <si>
    <t>SCANCARE DIAGNOSTICS CENTER</t>
  </si>
  <si>
    <t>SD/4000/IM</t>
  </si>
  <si>
    <t>Sundries Income IM</t>
  </si>
  <si>
    <t>SD/4100/MH</t>
  </si>
  <si>
    <t>Sundries Income MH</t>
  </si>
  <si>
    <t>Sundries</t>
  </si>
  <si>
    <t>SD/4200/LB</t>
  </si>
  <si>
    <t>Sundries Income LB</t>
  </si>
  <si>
    <t>STI/4100/MH</t>
  </si>
  <si>
    <t>Sovereign Trust Insurance</t>
  </si>
  <si>
    <t>Report Totals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</si>
</sst>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;\-#,##0.00;* ??"/>
  </numFmts>
  <fonts count="3" x14ac:knownFonts="1">
    <font>
      <sz val="11"/>
      <color theme="1"/>
      <name val="Aptos Narrow"/>
      <family val="2"/>
      <scheme val="minor"/>
    </font>
    <font>
      <sz val="9"/>
      <color rgb="FF000000"/>
      <name val="Arial"/>
      <family val="2"/>
    </font>
    <font>
      <b/>
      <sz val="9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49" fontId="1" fillId="0" borderId="0" xfId="0" applyNumberFormat="1" applyFont="1" applyAlignment="1">
      <alignment horizontal="left"/>
    </xf>
    <xf numFmtId="49" fontId="2" fillId="0" borderId="0" xfId="0" applyNumberFormat="1" applyFont="1" applyAlignment="1">
      <alignment horizontal="left"/>
    </xf>
    <xf numFmtId="0" fontId="2" fillId="0" borderId="0" xfId="0" applyFont="1"/>
    <xf numFmtId="164" fontId="2" fillId="0" borderId="0" xfId="0" applyNumberFormat="1" applyFont="1" applyAlignment="1">
      <alignment horizontal="right"/>
    </xf>
    <xf numFmtId="164" fontId="1" fillId="0" borderId="0" xfId="0" applyNumberFormat="1" applyFont="1" applyAlignment="1">
      <alignment horizontal="right"/>
    </xf>
    <xf numFmtId="49" fontId="2" fillId="0" borderId="2" xfId="0" applyNumberFormat="1" applyFont="1" applyBorder="1" applyAlignment="1">
      <alignment horizontal="left"/>
    </xf>
    <xf numFmtId="49" fontId="2" fillId="0" borderId="2" xfId="0" applyNumberFormat="1" applyFont="1" applyBorder="1" applyAlignment="1">
      <alignment horizontal="right"/>
    </xf>
    <xf numFmtId="0" fontId="2" fillId="0" borderId="2" xfId="0" applyFont="1" applyBorder="1"/>
    <xf numFmtId="0" fontId="0" fillId="0" borderId="1" xfId="0" applyBorder="1"/>
    <xf numFmtId="0" fontId="0" fillId="0" borderId="3" xfId="0" applyBorder="1"/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8ED1A-D3D9-4D76-A605-ED7F573098B1}">
  <dimension ref="A1:I1291"/>
  <sheetViews>
    <sheetView tabSelected="1" workbookViewId="0">
      <pane ySplit="1" topLeftCell="A2" activePane="bottomLeft" state="frozenSplit"/>
      <selection pane="bottomLeft"/>
    </sheetView>
  </sheetViews>
  <sheetFormatPr defaultRowHeight="11.5" x14ac:dyDescent="0.25"/>
  <cols>
    <col min="1" max="2" width="23.6328125" style="2" customWidth="1"/>
    <col min="3" max="3" width="17.6328125" style="2" customWidth="1"/>
    <col min="4" max="4" width="13.6328125" style="6" customWidth="1"/>
    <col min="5" max="5" width="12.6328125" style="2" customWidth="1"/>
    <col min="6" max="6" width="12.6328125" style="6" customWidth="1"/>
    <col min="7" max="7" width="13.6328125" style="6" customWidth="1"/>
    <col min="8" max="9" width="12.6328125" style="6" customWidth="1"/>
    <col min="10" max="16384" width="8.7265625" style="1"/>
  </cols>
  <sheetData>
    <row r="1" spans="1:9" s="9" customFormat="1" x14ac:dyDescent="0.25">
      <c r="A1" s="7" t="s">
        <v>0</v>
      </c>
      <c r="B1" s="7" t="s">
        <v>1</v>
      </c>
      <c r="C1" s="7" t="s">
        <v>2</v>
      </c>
      <c r="D1" s="8" t="s">
        <v>3</v>
      </c>
      <c r="E1" s="7" t="s">
        <v>4</v>
      </c>
      <c r="F1" s="8" t="s">
        <v>5</v>
      </c>
      <c r="G1" s="8" t="s">
        <v>6</v>
      </c>
      <c r="H1" s="8" t="s">
        <v>7</v>
      </c>
      <c r="I1" s="8" t="s">
        <v>8</v>
      </c>
    </row>
    <row r="2" spans="1:9" x14ac:dyDescent="0.25">
      <c r="A2" s="2" t="s">
        <v>9</v>
      </c>
      <c r="B2" s="2" t="s">
        <v>10</v>
      </c>
      <c r="C2" s="2" t="s">
        <v>11</v>
      </c>
      <c r="E2" s="2" t="s">
        <v>11</v>
      </c>
      <c r="F2" s="6">
        <v>10000</v>
      </c>
      <c r="H2" s="6">
        <f>F2-G2</f>
        <v>10000</v>
      </c>
      <c r="I2" s="6">
        <f>IF(F2&lt;&gt;0, ((F2-G2)/F2)*100, 0)</f>
        <v>100</v>
      </c>
    </row>
    <row r="3" spans="1:9" customFormat="1" ht="14.5" x14ac:dyDescent="0.35">
      <c r="D3" s="10"/>
      <c r="F3" s="10"/>
      <c r="G3" s="10"/>
      <c r="H3" s="10"/>
      <c r="I3" s="10"/>
    </row>
    <row r="4" spans="1:9" s="4" customFormat="1" x14ac:dyDescent="0.25">
      <c r="A4" s="3" t="s">
        <v>11</v>
      </c>
      <c r="B4" s="3" t="s">
        <v>11</v>
      </c>
      <c r="C4" s="3" t="s">
        <v>11</v>
      </c>
      <c r="D4" s="5">
        <f>SUBTOTAL(9, D2:D3)</f>
        <v>0</v>
      </c>
      <c r="E4" s="3" t="s">
        <v>11</v>
      </c>
      <c r="F4" s="5">
        <f>SUBTOTAL(9, F2:F3)</f>
        <v>10000</v>
      </c>
      <c r="G4" s="5">
        <f>SUBTOTAL(9, G2:G3)</f>
        <v>0</v>
      </c>
      <c r="H4" s="5">
        <f>SUBTOTAL(9, H2:H3)</f>
        <v>10000</v>
      </c>
      <c r="I4" s="5">
        <f>IF(F4&lt;&gt;0, ((F4-G4)/F4)*100, 0)</f>
        <v>100</v>
      </c>
    </row>
    <row r="5" spans="1:9" customFormat="1" ht="14.5" x14ac:dyDescent="0.35">
      <c r="D5" s="10"/>
      <c r="F5" s="10"/>
      <c r="G5" s="10"/>
      <c r="H5" s="10"/>
      <c r="I5" s="10"/>
    </row>
    <row r="6" spans="1:9" x14ac:dyDescent="0.25">
      <c r="A6" s="2" t="s">
        <v>12</v>
      </c>
      <c r="B6" s="2" t="s">
        <v>13</v>
      </c>
      <c r="C6" s="2" t="s">
        <v>11</v>
      </c>
      <c r="E6" s="2" t="s">
        <v>11</v>
      </c>
      <c r="F6" s="6">
        <v>10000</v>
      </c>
      <c r="H6" s="6">
        <f>F6-G6</f>
        <v>10000</v>
      </c>
      <c r="I6" s="6">
        <f>IF(F6&lt;&gt;0, ((F6-G6)/F6)*100, 0)</f>
        <v>100</v>
      </c>
    </row>
    <row r="7" spans="1:9" customFormat="1" ht="14.5" x14ac:dyDescent="0.35">
      <c r="D7" s="10"/>
      <c r="F7" s="10"/>
      <c r="G7" s="10"/>
      <c r="H7" s="10"/>
      <c r="I7" s="10"/>
    </row>
    <row r="8" spans="1:9" s="4" customFormat="1" x14ac:dyDescent="0.25">
      <c r="A8" s="3" t="s">
        <v>11</v>
      </c>
      <c r="B8" s="3" t="s">
        <v>11</v>
      </c>
      <c r="C8" s="3" t="s">
        <v>11</v>
      </c>
      <c r="D8" s="5">
        <f>SUBTOTAL(9, D6:D7)</f>
        <v>0</v>
      </c>
      <c r="E8" s="3" t="s">
        <v>11</v>
      </c>
      <c r="F8" s="5">
        <f>SUBTOTAL(9, F6:F7)</f>
        <v>10000</v>
      </c>
      <c r="G8" s="5">
        <f>SUBTOTAL(9, G6:G7)</f>
        <v>0</v>
      </c>
      <c r="H8" s="5">
        <f>SUBTOTAL(9, H6:H7)</f>
        <v>10000</v>
      </c>
      <c r="I8" s="5">
        <f>IF(F8&lt;&gt;0, ((F8-G8)/F8)*100, 0)</f>
        <v>100</v>
      </c>
    </row>
    <row r="9" spans="1:9" customFormat="1" ht="14.5" x14ac:dyDescent="0.35">
      <c r="D9" s="10"/>
      <c r="F9" s="10"/>
      <c r="G9" s="10"/>
      <c r="H9" s="10"/>
      <c r="I9" s="10"/>
    </row>
    <row r="10" spans="1:9" x14ac:dyDescent="0.25">
      <c r="A10" s="2" t="s">
        <v>14</v>
      </c>
      <c r="B10" s="2" t="s">
        <v>15</v>
      </c>
      <c r="C10" s="2" t="s">
        <v>11</v>
      </c>
      <c r="E10" s="2" t="s">
        <v>11</v>
      </c>
      <c r="F10" s="6">
        <v>70000</v>
      </c>
      <c r="H10" s="6">
        <f>F10-G10</f>
        <v>70000</v>
      </c>
      <c r="I10" s="6">
        <f>IF(F10&lt;&gt;0, ((F10-G10)/F10)*100, 0)</f>
        <v>100</v>
      </c>
    </row>
    <row r="11" spans="1:9" customFormat="1" ht="14.5" x14ac:dyDescent="0.35">
      <c r="D11" s="10"/>
      <c r="F11" s="10"/>
      <c r="G11" s="10"/>
      <c r="H11" s="10"/>
      <c r="I11" s="10"/>
    </row>
    <row r="12" spans="1:9" s="4" customFormat="1" x14ac:dyDescent="0.25">
      <c r="A12" s="3" t="s">
        <v>11</v>
      </c>
      <c r="B12" s="3" t="s">
        <v>11</v>
      </c>
      <c r="C12" s="3" t="s">
        <v>11</v>
      </c>
      <c r="D12" s="5">
        <f>SUBTOTAL(9, D10:D11)</f>
        <v>0</v>
      </c>
      <c r="E12" s="3" t="s">
        <v>11</v>
      </c>
      <c r="F12" s="5">
        <f>SUBTOTAL(9, F10:F11)</f>
        <v>70000</v>
      </c>
      <c r="G12" s="5">
        <f>SUBTOTAL(9, G10:G11)</f>
        <v>0</v>
      </c>
      <c r="H12" s="5">
        <f>SUBTOTAL(9, H10:H11)</f>
        <v>70000</v>
      </c>
      <c r="I12" s="5">
        <f>IF(F12&lt;&gt;0, ((F12-G12)/F12)*100, 0)</f>
        <v>100</v>
      </c>
    </row>
    <row r="13" spans="1:9" customFormat="1" ht="14.5" x14ac:dyDescent="0.35">
      <c r="D13" s="10"/>
      <c r="F13" s="10"/>
      <c r="G13" s="10"/>
      <c r="H13" s="10"/>
      <c r="I13" s="10"/>
    </row>
    <row r="14" spans="1:9" x14ac:dyDescent="0.25">
      <c r="A14" s="2" t="s">
        <v>16</v>
      </c>
      <c r="B14" s="2" t="s">
        <v>17</v>
      </c>
      <c r="C14" s="2" t="s">
        <v>11</v>
      </c>
      <c r="E14" s="2" t="s">
        <v>11</v>
      </c>
      <c r="F14" s="6">
        <v>150000</v>
      </c>
      <c r="H14" s="6">
        <f>F14-G14</f>
        <v>150000</v>
      </c>
      <c r="I14" s="6">
        <f>IF(F14&lt;&gt;0, ((F14-G14)/F14)*100, 0)</f>
        <v>100</v>
      </c>
    </row>
    <row r="15" spans="1:9" customFormat="1" ht="14.5" x14ac:dyDescent="0.35">
      <c r="D15" s="10"/>
      <c r="F15" s="10"/>
      <c r="G15" s="10"/>
      <c r="H15" s="10"/>
      <c r="I15" s="10"/>
    </row>
    <row r="16" spans="1:9" s="4" customFormat="1" x14ac:dyDescent="0.25">
      <c r="A16" s="3" t="s">
        <v>11</v>
      </c>
      <c r="B16" s="3" t="s">
        <v>11</v>
      </c>
      <c r="C16" s="3" t="s">
        <v>11</v>
      </c>
      <c r="D16" s="5">
        <f>SUBTOTAL(9, D14:D15)</f>
        <v>0</v>
      </c>
      <c r="E16" s="3" t="s">
        <v>11</v>
      </c>
      <c r="F16" s="5">
        <f>SUBTOTAL(9, F14:F15)</f>
        <v>150000</v>
      </c>
      <c r="G16" s="5">
        <f>SUBTOTAL(9, G14:G15)</f>
        <v>0</v>
      </c>
      <c r="H16" s="5">
        <f>SUBTOTAL(9, H14:H15)</f>
        <v>150000</v>
      </c>
      <c r="I16" s="5">
        <f>IF(F16&lt;&gt;0, ((F16-G16)/F16)*100, 0)</f>
        <v>100</v>
      </c>
    </row>
    <row r="17" spans="1:9" customFormat="1" ht="14.5" x14ac:dyDescent="0.35">
      <c r="D17" s="10"/>
      <c r="F17" s="10"/>
      <c r="G17" s="10"/>
      <c r="H17" s="10"/>
      <c r="I17" s="10"/>
    </row>
    <row r="18" spans="1:9" x14ac:dyDescent="0.25">
      <c r="A18" s="2" t="s">
        <v>18</v>
      </c>
      <c r="B18" s="2" t="s">
        <v>19</v>
      </c>
      <c r="C18" s="2" t="s">
        <v>11</v>
      </c>
      <c r="E18" s="2" t="s">
        <v>11</v>
      </c>
      <c r="F18" s="6">
        <v>150000</v>
      </c>
      <c r="H18" s="6">
        <f>F18-G18</f>
        <v>150000</v>
      </c>
      <c r="I18" s="6">
        <f>IF(F18&lt;&gt;0, ((F18-G18)/F18)*100, 0)</f>
        <v>100</v>
      </c>
    </row>
    <row r="19" spans="1:9" customFormat="1" ht="14.5" x14ac:dyDescent="0.35">
      <c r="D19" s="10"/>
      <c r="F19" s="10"/>
      <c r="G19" s="10"/>
      <c r="H19" s="10"/>
      <c r="I19" s="10"/>
    </row>
    <row r="20" spans="1:9" s="4" customFormat="1" x14ac:dyDescent="0.25">
      <c r="A20" s="3" t="s">
        <v>11</v>
      </c>
      <c r="B20" s="3" t="s">
        <v>11</v>
      </c>
      <c r="C20" s="3" t="s">
        <v>11</v>
      </c>
      <c r="D20" s="5">
        <f>SUBTOTAL(9, D18:D19)</f>
        <v>0</v>
      </c>
      <c r="E20" s="3" t="s">
        <v>11</v>
      </c>
      <c r="F20" s="5">
        <f>SUBTOTAL(9, F18:F19)</f>
        <v>150000</v>
      </c>
      <c r="G20" s="5">
        <f>SUBTOTAL(9, G18:G19)</f>
        <v>0</v>
      </c>
      <c r="H20" s="5">
        <f>SUBTOTAL(9, H18:H19)</f>
        <v>150000</v>
      </c>
      <c r="I20" s="5">
        <f>IF(F20&lt;&gt;0, ((F20-G20)/F20)*100, 0)</f>
        <v>100</v>
      </c>
    </row>
    <row r="21" spans="1:9" customFormat="1" ht="14.5" x14ac:dyDescent="0.35">
      <c r="D21" s="10"/>
      <c r="F21" s="10"/>
      <c r="G21" s="10"/>
      <c r="H21" s="10"/>
      <c r="I21" s="10"/>
    </row>
    <row r="22" spans="1:9" x14ac:dyDescent="0.25">
      <c r="A22" s="2" t="s">
        <v>20</v>
      </c>
      <c r="B22" s="2" t="s">
        <v>21</v>
      </c>
      <c r="C22" s="2" t="s">
        <v>11</v>
      </c>
      <c r="E22" s="2" t="s">
        <v>11</v>
      </c>
      <c r="F22" s="6">
        <v>80000</v>
      </c>
      <c r="H22" s="6">
        <f>F22-G22</f>
        <v>80000</v>
      </c>
      <c r="I22" s="6">
        <f>IF(F22&lt;&gt;0, ((F22-G22)/F22)*100, 0)</f>
        <v>100</v>
      </c>
    </row>
    <row r="23" spans="1:9" customFormat="1" ht="14.5" x14ac:dyDescent="0.35">
      <c r="D23" s="10"/>
      <c r="F23" s="10"/>
      <c r="G23" s="10"/>
      <c r="H23" s="10"/>
      <c r="I23" s="10"/>
    </row>
    <row r="24" spans="1:9" s="4" customFormat="1" x14ac:dyDescent="0.25">
      <c r="A24" s="3" t="s">
        <v>11</v>
      </c>
      <c r="B24" s="3" t="s">
        <v>11</v>
      </c>
      <c r="C24" s="3" t="s">
        <v>11</v>
      </c>
      <c r="D24" s="5">
        <f>SUBTOTAL(9, D22:D23)</f>
        <v>0</v>
      </c>
      <c r="E24" s="3" t="s">
        <v>11</v>
      </c>
      <c r="F24" s="5">
        <f>SUBTOTAL(9, F22:F23)</f>
        <v>80000</v>
      </c>
      <c r="G24" s="5">
        <f>SUBTOTAL(9, G22:G23)</f>
        <v>0</v>
      </c>
      <c r="H24" s="5">
        <f>SUBTOTAL(9, H22:H23)</f>
        <v>80000</v>
      </c>
      <c r="I24" s="5">
        <f>IF(F24&lt;&gt;0, ((F24-G24)/F24)*100, 0)</f>
        <v>100</v>
      </c>
    </row>
    <row r="25" spans="1:9" customFormat="1" ht="14.5" x14ac:dyDescent="0.35">
      <c r="D25" s="10"/>
      <c r="F25" s="10"/>
      <c r="G25" s="10"/>
      <c r="H25" s="10"/>
      <c r="I25" s="10"/>
    </row>
    <row r="26" spans="1:9" x14ac:dyDescent="0.25">
      <c r="A26" s="2" t="s">
        <v>22</v>
      </c>
      <c r="B26" s="2" t="s">
        <v>23</v>
      </c>
      <c r="C26" s="2" t="s">
        <v>11</v>
      </c>
      <c r="E26" s="2" t="s">
        <v>11</v>
      </c>
      <c r="F26" s="6">
        <v>53000</v>
      </c>
      <c r="H26" s="6">
        <f>F26-G26</f>
        <v>53000</v>
      </c>
      <c r="I26" s="6">
        <f>IF(F26&lt;&gt;0, ((F26-G26)/F26)*100, 0)</f>
        <v>100</v>
      </c>
    </row>
    <row r="27" spans="1:9" customFormat="1" ht="14.5" x14ac:dyDescent="0.35">
      <c r="D27" s="10"/>
      <c r="F27" s="10"/>
      <c r="G27" s="10"/>
      <c r="H27" s="10"/>
      <c r="I27" s="10"/>
    </row>
    <row r="28" spans="1:9" s="4" customFormat="1" x14ac:dyDescent="0.25">
      <c r="A28" s="3" t="s">
        <v>11</v>
      </c>
      <c r="B28" s="3" t="s">
        <v>11</v>
      </c>
      <c r="C28" s="3" t="s">
        <v>11</v>
      </c>
      <c r="D28" s="5">
        <f>SUBTOTAL(9, D26:D27)</f>
        <v>0</v>
      </c>
      <c r="E28" s="3" t="s">
        <v>11</v>
      </c>
      <c r="F28" s="5">
        <f>SUBTOTAL(9, F26:F27)</f>
        <v>53000</v>
      </c>
      <c r="G28" s="5">
        <f>SUBTOTAL(9, G26:G27)</f>
        <v>0</v>
      </c>
      <c r="H28" s="5">
        <f>SUBTOTAL(9, H26:H27)</f>
        <v>53000</v>
      </c>
      <c r="I28" s="5">
        <f>IF(F28&lt;&gt;0, ((F28-G28)/F28)*100, 0)</f>
        <v>100</v>
      </c>
    </row>
    <row r="29" spans="1:9" customFormat="1" ht="14.5" x14ac:dyDescent="0.35">
      <c r="D29" s="10"/>
      <c r="F29" s="10"/>
      <c r="G29" s="10"/>
      <c r="H29" s="10"/>
      <c r="I29" s="10"/>
    </row>
    <row r="30" spans="1:9" x14ac:dyDescent="0.25">
      <c r="A30" s="2" t="s">
        <v>24</v>
      </c>
      <c r="B30" s="2" t="s">
        <v>25</v>
      </c>
      <c r="C30" s="2" t="s">
        <v>11</v>
      </c>
      <c r="E30" s="2" t="s">
        <v>11</v>
      </c>
      <c r="F30" s="6">
        <v>150000</v>
      </c>
      <c r="H30" s="6">
        <f>F30-G30</f>
        <v>150000</v>
      </c>
      <c r="I30" s="6">
        <f>IF(F30&lt;&gt;0, ((F30-G30)/F30)*100, 0)</f>
        <v>100</v>
      </c>
    </row>
    <row r="31" spans="1:9" customFormat="1" ht="14.5" x14ac:dyDescent="0.35">
      <c r="D31" s="10"/>
      <c r="F31" s="10"/>
      <c r="G31" s="10"/>
      <c r="H31" s="10"/>
      <c r="I31" s="10"/>
    </row>
    <row r="32" spans="1:9" s="4" customFormat="1" x14ac:dyDescent="0.25">
      <c r="A32" s="3" t="s">
        <v>11</v>
      </c>
      <c r="B32" s="3" t="s">
        <v>11</v>
      </c>
      <c r="C32" s="3" t="s">
        <v>11</v>
      </c>
      <c r="D32" s="5">
        <f>SUBTOTAL(9, D30:D31)</f>
        <v>0</v>
      </c>
      <c r="E32" s="3" t="s">
        <v>11</v>
      </c>
      <c r="F32" s="5">
        <f>SUBTOTAL(9, F30:F31)</f>
        <v>150000</v>
      </c>
      <c r="G32" s="5">
        <f>SUBTOTAL(9, G30:G31)</f>
        <v>0</v>
      </c>
      <c r="H32" s="5">
        <f>SUBTOTAL(9, H30:H31)</f>
        <v>150000</v>
      </c>
      <c r="I32" s="5">
        <f>IF(F32&lt;&gt;0, ((F32-G32)/F32)*100, 0)</f>
        <v>100</v>
      </c>
    </row>
    <row r="33" spans="1:9" customFormat="1" ht="14.5" x14ac:dyDescent="0.35">
      <c r="D33" s="10"/>
      <c r="F33" s="10"/>
      <c r="G33" s="10"/>
      <c r="H33" s="10"/>
      <c r="I33" s="10"/>
    </row>
    <row r="34" spans="1:9" x14ac:dyDescent="0.25">
      <c r="A34" s="2" t="s">
        <v>26</v>
      </c>
      <c r="B34" s="2" t="s">
        <v>27</v>
      </c>
      <c r="C34" s="2" t="s">
        <v>11</v>
      </c>
      <c r="E34" s="2" t="s">
        <v>11</v>
      </c>
      <c r="F34" s="6">
        <v>122000</v>
      </c>
      <c r="H34" s="6">
        <f>F34-G34</f>
        <v>122000</v>
      </c>
      <c r="I34" s="6">
        <f>IF(F34&lt;&gt;0, ((F34-G34)/F34)*100, 0)</f>
        <v>100</v>
      </c>
    </row>
    <row r="35" spans="1:9" customFormat="1" ht="14.5" x14ac:dyDescent="0.35">
      <c r="D35" s="10"/>
      <c r="F35" s="10"/>
      <c r="G35" s="10"/>
      <c r="H35" s="10"/>
      <c r="I35" s="10"/>
    </row>
    <row r="36" spans="1:9" s="4" customFormat="1" x14ac:dyDescent="0.25">
      <c r="A36" s="3" t="s">
        <v>11</v>
      </c>
      <c r="B36" s="3" t="s">
        <v>11</v>
      </c>
      <c r="C36" s="3" t="s">
        <v>11</v>
      </c>
      <c r="D36" s="5">
        <f>SUBTOTAL(9, D34:D35)</f>
        <v>0</v>
      </c>
      <c r="E36" s="3" t="s">
        <v>11</v>
      </c>
      <c r="F36" s="5">
        <f>SUBTOTAL(9, F34:F35)</f>
        <v>122000</v>
      </c>
      <c r="G36" s="5">
        <f>SUBTOTAL(9, G34:G35)</f>
        <v>0</v>
      </c>
      <c r="H36" s="5">
        <f>SUBTOTAL(9, H34:H35)</f>
        <v>122000</v>
      </c>
      <c r="I36" s="5">
        <f>IF(F36&lt;&gt;0, ((F36-G36)/F36)*100, 0)</f>
        <v>100</v>
      </c>
    </row>
    <row r="37" spans="1:9" customFormat="1" ht="14.5" x14ac:dyDescent="0.35">
      <c r="D37" s="10"/>
      <c r="F37" s="10"/>
      <c r="G37" s="10"/>
      <c r="H37" s="10"/>
      <c r="I37" s="10"/>
    </row>
    <row r="38" spans="1:9" x14ac:dyDescent="0.25">
      <c r="A38" s="2" t="s">
        <v>28</v>
      </c>
      <c r="B38" s="2" t="s">
        <v>29</v>
      </c>
      <c r="C38" s="2" t="s">
        <v>11</v>
      </c>
      <c r="E38" s="2" t="s">
        <v>11</v>
      </c>
      <c r="F38" s="6">
        <v>1000</v>
      </c>
      <c r="H38" s="6">
        <f>F38-G38</f>
        <v>1000</v>
      </c>
      <c r="I38" s="6">
        <f>IF(F38&lt;&gt;0, ((F38-G38)/F38)*100, 0)</f>
        <v>100</v>
      </c>
    </row>
    <row r="39" spans="1:9" customFormat="1" ht="14.5" x14ac:dyDescent="0.35">
      <c r="D39" s="10"/>
      <c r="F39" s="10"/>
      <c r="G39" s="10"/>
      <c r="H39" s="10"/>
      <c r="I39" s="10"/>
    </row>
    <row r="40" spans="1:9" s="4" customFormat="1" x14ac:dyDescent="0.25">
      <c r="A40" s="3" t="s">
        <v>11</v>
      </c>
      <c r="B40" s="3" t="s">
        <v>11</v>
      </c>
      <c r="C40" s="3" t="s">
        <v>11</v>
      </c>
      <c r="D40" s="5">
        <f>SUBTOTAL(9, D38:D39)</f>
        <v>0</v>
      </c>
      <c r="E40" s="3" t="s">
        <v>11</v>
      </c>
      <c r="F40" s="5">
        <f>SUBTOTAL(9, F38:F39)</f>
        <v>1000</v>
      </c>
      <c r="G40" s="5">
        <f>SUBTOTAL(9, G38:G39)</f>
        <v>0</v>
      </c>
      <c r="H40" s="5">
        <f>SUBTOTAL(9, H38:H39)</f>
        <v>1000</v>
      </c>
      <c r="I40" s="5">
        <f>IF(F40&lt;&gt;0, ((F40-G40)/F40)*100, 0)</f>
        <v>100</v>
      </c>
    </row>
    <row r="41" spans="1:9" customFormat="1" ht="14.5" x14ac:dyDescent="0.35">
      <c r="D41" s="10"/>
      <c r="F41" s="10"/>
      <c r="G41" s="10"/>
      <c r="H41" s="10"/>
      <c r="I41" s="10"/>
    </row>
    <row r="42" spans="1:9" x14ac:dyDescent="0.25">
      <c r="A42" s="2" t="s">
        <v>30</v>
      </c>
      <c r="B42" s="2" t="s">
        <v>31</v>
      </c>
      <c r="C42" s="2" t="s">
        <v>11</v>
      </c>
      <c r="E42" s="2" t="s">
        <v>11</v>
      </c>
      <c r="F42" s="6">
        <v>85000</v>
      </c>
      <c r="H42" s="6">
        <f>F42-G42</f>
        <v>85000</v>
      </c>
      <c r="I42" s="6">
        <f>IF(F42&lt;&gt;0, ((F42-G42)/F42)*100, 0)</f>
        <v>100</v>
      </c>
    </row>
    <row r="43" spans="1:9" customFormat="1" ht="14.5" x14ac:dyDescent="0.35">
      <c r="D43" s="10"/>
      <c r="F43" s="10"/>
      <c r="G43" s="10"/>
      <c r="H43" s="10"/>
      <c r="I43" s="10"/>
    </row>
    <row r="44" spans="1:9" s="4" customFormat="1" x14ac:dyDescent="0.25">
      <c r="A44" s="3" t="s">
        <v>11</v>
      </c>
      <c r="B44" s="3" t="s">
        <v>11</v>
      </c>
      <c r="C44" s="3" t="s">
        <v>11</v>
      </c>
      <c r="D44" s="5">
        <f>SUBTOTAL(9, D42:D43)</f>
        <v>0</v>
      </c>
      <c r="E44" s="3" t="s">
        <v>11</v>
      </c>
      <c r="F44" s="5">
        <f>SUBTOTAL(9, F42:F43)</f>
        <v>85000</v>
      </c>
      <c r="G44" s="5">
        <f>SUBTOTAL(9, G42:G43)</f>
        <v>0</v>
      </c>
      <c r="H44" s="5">
        <f>SUBTOTAL(9, H42:H43)</f>
        <v>85000</v>
      </c>
      <c r="I44" s="5">
        <f>IF(F44&lt;&gt;0, ((F44-G44)/F44)*100, 0)</f>
        <v>100</v>
      </c>
    </row>
    <row r="45" spans="1:9" customFormat="1" ht="14.5" x14ac:dyDescent="0.35">
      <c r="D45" s="10"/>
      <c r="F45" s="10"/>
      <c r="G45" s="10"/>
      <c r="H45" s="10"/>
      <c r="I45" s="10"/>
    </row>
    <row r="46" spans="1:9" x14ac:dyDescent="0.25">
      <c r="A46" s="2" t="s">
        <v>32</v>
      </c>
      <c r="B46" s="2" t="s">
        <v>33</v>
      </c>
      <c r="C46" s="2" t="s">
        <v>11</v>
      </c>
      <c r="E46" s="2" t="s">
        <v>11</v>
      </c>
      <c r="F46" s="6">
        <v>90000</v>
      </c>
      <c r="H46" s="6">
        <f>F46-G46</f>
        <v>90000</v>
      </c>
      <c r="I46" s="6">
        <f>IF(F46&lt;&gt;0, ((F46-G46)/F46)*100, 0)</f>
        <v>100</v>
      </c>
    </row>
    <row r="47" spans="1:9" customFormat="1" ht="14.5" x14ac:dyDescent="0.35">
      <c r="D47" s="10"/>
      <c r="F47" s="10"/>
      <c r="G47" s="10"/>
      <c r="H47" s="10"/>
      <c r="I47" s="10"/>
    </row>
    <row r="48" spans="1:9" s="4" customFormat="1" x14ac:dyDescent="0.25">
      <c r="A48" s="3" t="s">
        <v>11</v>
      </c>
      <c r="B48" s="3" t="s">
        <v>11</v>
      </c>
      <c r="C48" s="3" t="s">
        <v>11</v>
      </c>
      <c r="D48" s="5">
        <f>SUBTOTAL(9, D46:D47)</f>
        <v>0</v>
      </c>
      <c r="E48" s="3" t="s">
        <v>11</v>
      </c>
      <c r="F48" s="5">
        <f>SUBTOTAL(9, F46:F47)</f>
        <v>90000</v>
      </c>
      <c r="G48" s="5">
        <f>SUBTOTAL(9, G46:G47)</f>
        <v>0</v>
      </c>
      <c r="H48" s="5">
        <f>SUBTOTAL(9, H46:H47)</f>
        <v>90000</v>
      </c>
      <c r="I48" s="5">
        <f>IF(F48&lt;&gt;0, ((F48-G48)/F48)*100, 0)</f>
        <v>100</v>
      </c>
    </row>
    <row r="49" spans="1:9" customFormat="1" ht="14.5" x14ac:dyDescent="0.35">
      <c r="D49" s="10"/>
      <c r="F49" s="10"/>
      <c r="G49" s="10"/>
      <c r="H49" s="10"/>
      <c r="I49" s="10"/>
    </row>
    <row r="50" spans="1:9" x14ac:dyDescent="0.25">
      <c r="A50" s="2" t="s">
        <v>34</v>
      </c>
      <c r="B50" s="2" t="s">
        <v>35</v>
      </c>
      <c r="C50" s="2" t="s">
        <v>11</v>
      </c>
      <c r="E50" s="2" t="s">
        <v>11</v>
      </c>
      <c r="F50" s="6">
        <v>220000</v>
      </c>
      <c r="H50" s="6">
        <f>F50-G50</f>
        <v>220000</v>
      </c>
      <c r="I50" s="6">
        <f>IF(F50&lt;&gt;0, ((F50-G50)/F50)*100, 0)</f>
        <v>100</v>
      </c>
    </row>
    <row r="51" spans="1:9" customFormat="1" ht="14.5" x14ac:dyDescent="0.35">
      <c r="D51" s="10"/>
      <c r="F51" s="10"/>
      <c r="G51" s="10"/>
      <c r="H51" s="10"/>
      <c r="I51" s="10"/>
    </row>
    <row r="52" spans="1:9" s="4" customFormat="1" x14ac:dyDescent="0.25">
      <c r="A52" s="3" t="s">
        <v>11</v>
      </c>
      <c r="B52" s="3" t="s">
        <v>11</v>
      </c>
      <c r="C52" s="3" t="s">
        <v>11</v>
      </c>
      <c r="D52" s="5">
        <f>SUBTOTAL(9, D50:D51)</f>
        <v>0</v>
      </c>
      <c r="E52" s="3" t="s">
        <v>11</v>
      </c>
      <c r="F52" s="5">
        <f>SUBTOTAL(9, F50:F51)</f>
        <v>220000</v>
      </c>
      <c r="G52" s="5">
        <f>SUBTOTAL(9, G50:G51)</f>
        <v>0</v>
      </c>
      <c r="H52" s="5">
        <f>SUBTOTAL(9, H50:H51)</f>
        <v>220000</v>
      </c>
      <c r="I52" s="5">
        <f>IF(F52&lt;&gt;0, ((F52-G52)/F52)*100, 0)</f>
        <v>100</v>
      </c>
    </row>
    <row r="53" spans="1:9" customFormat="1" ht="14.5" x14ac:dyDescent="0.35">
      <c r="D53" s="10"/>
      <c r="F53" s="10"/>
      <c r="G53" s="10"/>
      <c r="H53" s="10"/>
      <c r="I53" s="10"/>
    </row>
    <row r="54" spans="1:9" x14ac:dyDescent="0.25">
      <c r="A54" s="2" t="s">
        <v>36</v>
      </c>
      <c r="B54" s="2" t="s">
        <v>37</v>
      </c>
      <c r="C54" s="2" t="s">
        <v>11</v>
      </c>
      <c r="E54" s="2" t="s">
        <v>11</v>
      </c>
      <c r="F54" s="6">
        <v>25000</v>
      </c>
      <c r="H54" s="6">
        <f>F54-G54</f>
        <v>25000</v>
      </c>
      <c r="I54" s="6">
        <f>IF(F54&lt;&gt;0, ((F54-G54)/F54)*100, 0)</f>
        <v>100</v>
      </c>
    </row>
    <row r="55" spans="1:9" customFormat="1" ht="14.5" x14ac:dyDescent="0.35">
      <c r="D55" s="10"/>
      <c r="F55" s="10"/>
      <c r="G55" s="10"/>
      <c r="H55" s="10"/>
      <c r="I55" s="10"/>
    </row>
    <row r="56" spans="1:9" s="4" customFormat="1" x14ac:dyDescent="0.25">
      <c r="A56" s="3" t="s">
        <v>11</v>
      </c>
      <c r="B56" s="3" t="s">
        <v>11</v>
      </c>
      <c r="C56" s="3" t="s">
        <v>11</v>
      </c>
      <c r="D56" s="5">
        <f>SUBTOTAL(9, D54:D55)</f>
        <v>0</v>
      </c>
      <c r="E56" s="3" t="s">
        <v>11</v>
      </c>
      <c r="F56" s="5">
        <f>SUBTOTAL(9, F54:F55)</f>
        <v>25000</v>
      </c>
      <c r="G56" s="5">
        <f>SUBTOTAL(9, G54:G55)</f>
        <v>0</v>
      </c>
      <c r="H56" s="5">
        <f>SUBTOTAL(9, H54:H55)</f>
        <v>25000</v>
      </c>
      <c r="I56" s="5">
        <f>IF(F56&lt;&gt;0, ((F56-G56)/F56)*100, 0)</f>
        <v>100</v>
      </c>
    </row>
    <row r="57" spans="1:9" customFormat="1" ht="14.5" x14ac:dyDescent="0.35">
      <c r="D57" s="10"/>
      <c r="F57" s="10"/>
      <c r="G57" s="10"/>
      <c r="H57" s="10"/>
      <c r="I57" s="10"/>
    </row>
    <row r="58" spans="1:9" x14ac:dyDescent="0.25">
      <c r="A58" s="2" t="s">
        <v>38</v>
      </c>
      <c r="B58" s="2" t="s">
        <v>39</v>
      </c>
      <c r="C58" s="2" t="s">
        <v>11</v>
      </c>
      <c r="E58" s="2" t="s">
        <v>11</v>
      </c>
      <c r="F58" s="6">
        <v>120000</v>
      </c>
      <c r="H58" s="6">
        <f>F58-G58</f>
        <v>120000</v>
      </c>
      <c r="I58" s="6">
        <f>IF(F58&lt;&gt;0, ((F58-G58)/F58)*100, 0)</f>
        <v>100</v>
      </c>
    </row>
    <row r="59" spans="1:9" customFormat="1" ht="14.5" x14ac:dyDescent="0.35">
      <c r="D59" s="10"/>
      <c r="F59" s="10"/>
      <c r="G59" s="10"/>
      <c r="H59" s="10"/>
      <c r="I59" s="10"/>
    </row>
    <row r="60" spans="1:9" s="4" customFormat="1" x14ac:dyDescent="0.25">
      <c r="A60" s="3" t="s">
        <v>11</v>
      </c>
      <c r="B60" s="3" t="s">
        <v>11</v>
      </c>
      <c r="C60" s="3" t="s">
        <v>11</v>
      </c>
      <c r="D60" s="5">
        <f>SUBTOTAL(9, D58:D59)</f>
        <v>0</v>
      </c>
      <c r="E60" s="3" t="s">
        <v>11</v>
      </c>
      <c r="F60" s="5">
        <f>SUBTOTAL(9, F58:F59)</f>
        <v>120000</v>
      </c>
      <c r="G60" s="5">
        <f>SUBTOTAL(9, G58:G59)</f>
        <v>0</v>
      </c>
      <c r="H60" s="5">
        <f>SUBTOTAL(9, H58:H59)</f>
        <v>120000</v>
      </c>
      <c r="I60" s="5">
        <f>IF(F60&lt;&gt;0, ((F60-G60)/F60)*100, 0)</f>
        <v>100</v>
      </c>
    </row>
    <row r="61" spans="1:9" customFormat="1" ht="14.5" x14ac:dyDescent="0.35">
      <c r="D61" s="10"/>
      <c r="F61" s="10"/>
      <c r="G61" s="10"/>
      <c r="H61" s="10"/>
      <c r="I61" s="10"/>
    </row>
    <row r="62" spans="1:9" x14ac:dyDescent="0.25">
      <c r="A62" s="2" t="s">
        <v>40</v>
      </c>
      <c r="B62" s="2" t="s">
        <v>41</v>
      </c>
      <c r="C62" s="2" t="s">
        <v>11</v>
      </c>
      <c r="E62" s="2" t="s">
        <v>11</v>
      </c>
      <c r="F62" s="6">
        <v>3000</v>
      </c>
      <c r="H62" s="6">
        <f>F62-G62</f>
        <v>3000</v>
      </c>
      <c r="I62" s="6">
        <f>IF(F62&lt;&gt;0, ((F62-G62)/F62)*100, 0)</f>
        <v>100</v>
      </c>
    </row>
    <row r="63" spans="1:9" customFormat="1" ht="14.5" x14ac:dyDescent="0.35">
      <c r="D63" s="10"/>
      <c r="F63" s="10"/>
      <c r="G63" s="10"/>
      <c r="H63" s="10"/>
      <c r="I63" s="10"/>
    </row>
    <row r="64" spans="1:9" s="4" customFormat="1" x14ac:dyDescent="0.25">
      <c r="A64" s="3" t="s">
        <v>11</v>
      </c>
      <c r="B64" s="3" t="s">
        <v>11</v>
      </c>
      <c r="C64" s="3" t="s">
        <v>11</v>
      </c>
      <c r="D64" s="5">
        <f>SUBTOTAL(9, D62:D63)</f>
        <v>0</v>
      </c>
      <c r="E64" s="3" t="s">
        <v>11</v>
      </c>
      <c r="F64" s="5">
        <f>SUBTOTAL(9, F62:F63)</f>
        <v>3000</v>
      </c>
      <c r="G64" s="5">
        <f>SUBTOTAL(9, G62:G63)</f>
        <v>0</v>
      </c>
      <c r="H64" s="5">
        <f>SUBTOTAL(9, H62:H63)</f>
        <v>3000</v>
      </c>
      <c r="I64" s="5">
        <f>IF(F64&lt;&gt;0, ((F64-G64)/F64)*100, 0)</f>
        <v>100</v>
      </c>
    </row>
    <row r="65" spans="1:9" customFormat="1" ht="14.5" x14ac:dyDescent="0.35">
      <c r="D65" s="10"/>
      <c r="F65" s="10"/>
      <c r="G65" s="10"/>
      <c r="H65" s="10"/>
      <c r="I65" s="10"/>
    </row>
    <row r="66" spans="1:9" x14ac:dyDescent="0.25">
      <c r="A66" s="2" t="s">
        <v>42</v>
      </c>
      <c r="B66" s="2" t="s">
        <v>43</v>
      </c>
      <c r="C66" s="2" t="s">
        <v>11</v>
      </c>
      <c r="E66" s="2" t="s">
        <v>11</v>
      </c>
      <c r="F66" s="6">
        <v>150000</v>
      </c>
      <c r="H66" s="6">
        <f>F66-G66</f>
        <v>150000</v>
      </c>
      <c r="I66" s="6">
        <f>IF(F66&lt;&gt;0, ((F66-G66)/F66)*100, 0)</f>
        <v>100</v>
      </c>
    </row>
    <row r="67" spans="1:9" customFormat="1" ht="14.5" x14ac:dyDescent="0.35">
      <c r="D67" s="10"/>
      <c r="F67" s="10"/>
      <c r="G67" s="10"/>
      <c r="H67" s="10"/>
      <c r="I67" s="10"/>
    </row>
    <row r="68" spans="1:9" s="4" customFormat="1" x14ac:dyDescent="0.25">
      <c r="A68" s="3" t="s">
        <v>11</v>
      </c>
      <c r="B68" s="3" t="s">
        <v>11</v>
      </c>
      <c r="C68" s="3" t="s">
        <v>11</v>
      </c>
      <c r="D68" s="5">
        <f>SUBTOTAL(9, D66:D67)</f>
        <v>0</v>
      </c>
      <c r="E68" s="3" t="s">
        <v>11</v>
      </c>
      <c r="F68" s="5">
        <f>SUBTOTAL(9, F66:F67)</f>
        <v>150000</v>
      </c>
      <c r="G68" s="5">
        <f>SUBTOTAL(9, G66:G67)</f>
        <v>0</v>
      </c>
      <c r="H68" s="5">
        <f>SUBTOTAL(9, H66:H67)</f>
        <v>150000</v>
      </c>
      <c r="I68" s="5">
        <f>IF(F68&lt;&gt;0, ((F68-G68)/F68)*100, 0)</f>
        <v>100</v>
      </c>
    </row>
    <row r="69" spans="1:9" customFormat="1" ht="14.5" x14ac:dyDescent="0.35">
      <c r="D69" s="10"/>
      <c r="F69" s="10"/>
      <c r="G69" s="10"/>
      <c r="H69" s="10"/>
      <c r="I69" s="10"/>
    </row>
    <row r="70" spans="1:9" x14ac:dyDescent="0.25">
      <c r="A70" s="2" t="s">
        <v>44</v>
      </c>
      <c r="B70" s="2" t="s">
        <v>45</v>
      </c>
      <c r="C70" s="2" t="s">
        <v>11</v>
      </c>
      <c r="E70" s="2" t="s">
        <v>11</v>
      </c>
      <c r="F70" s="6">
        <v>100000</v>
      </c>
      <c r="H70" s="6">
        <f>F70-G70</f>
        <v>100000</v>
      </c>
      <c r="I70" s="6">
        <f>IF(F70&lt;&gt;0, ((F70-G70)/F70)*100, 0)</f>
        <v>100</v>
      </c>
    </row>
    <row r="71" spans="1:9" customFormat="1" ht="14.5" x14ac:dyDescent="0.35">
      <c r="D71" s="10"/>
      <c r="F71" s="10"/>
      <c r="G71" s="10"/>
      <c r="H71" s="10"/>
      <c r="I71" s="10"/>
    </row>
    <row r="72" spans="1:9" s="4" customFormat="1" x14ac:dyDescent="0.25">
      <c r="A72" s="3" t="s">
        <v>11</v>
      </c>
      <c r="B72" s="3" t="s">
        <v>11</v>
      </c>
      <c r="C72" s="3" t="s">
        <v>11</v>
      </c>
      <c r="D72" s="5">
        <f>SUBTOTAL(9, D70:D71)</f>
        <v>0</v>
      </c>
      <c r="E72" s="3" t="s">
        <v>11</v>
      </c>
      <c r="F72" s="5">
        <f>SUBTOTAL(9, F70:F71)</f>
        <v>100000</v>
      </c>
      <c r="G72" s="5">
        <f>SUBTOTAL(9, G70:G71)</f>
        <v>0</v>
      </c>
      <c r="H72" s="5">
        <f>SUBTOTAL(9, H70:H71)</f>
        <v>100000</v>
      </c>
      <c r="I72" s="5">
        <f>IF(F72&lt;&gt;0, ((F72-G72)/F72)*100, 0)</f>
        <v>100</v>
      </c>
    </row>
    <row r="73" spans="1:9" customFormat="1" ht="14.5" x14ac:dyDescent="0.35">
      <c r="D73" s="10"/>
      <c r="F73" s="10"/>
      <c r="G73" s="10"/>
      <c r="H73" s="10"/>
      <c r="I73" s="10"/>
    </row>
    <row r="74" spans="1:9" x14ac:dyDescent="0.25">
      <c r="A74" s="2" t="s">
        <v>46</v>
      </c>
      <c r="B74" s="2" t="s">
        <v>47</v>
      </c>
      <c r="C74" s="2" t="s">
        <v>11</v>
      </c>
      <c r="E74" s="2" t="s">
        <v>11</v>
      </c>
      <c r="F74" s="6">
        <v>222300</v>
      </c>
      <c r="H74" s="6">
        <f>F74-G74</f>
        <v>222300</v>
      </c>
      <c r="I74" s="6">
        <f>IF(F74&lt;&gt;0, ((F74-G74)/F74)*100, 0)</f>
        <v>100</v>
      </c>
    </row>
    <row r="75" spans="1:9" customFormat="1" ht="14.5" x14ac:dyDescent="0.35">
      <c r="D75" s="10"/>
      <c r="F75" s="10"/>
      <c r="G75" s="10"/>
      <c r="H75" s="10"/>
      <c r="I75" s="10"/>
    </row>
    <row r="76" spans="1:9" s="4" customFormat="1" x14ac:dyDescent="0.25">
      <c r="A76" s="3" t="s">
        <v>11</v>
      </c>
      <c r="B76" s="3" t="s">
        <v>11</v>
      </c>
      <c r="C76" s="3" t="s">
        <v>11</v>
      </c>
      <c r="D76" s="5">
        <f>SUBTOTAL(9, D74:D75)</f>
        <v>0</v>
      </c>
      <c r="E76" s="3" t="s">
        <v>11</v>
      </c>
      <c r="F76" s="5">
        <f>SUBTOTAL(9, F74:F75)</f>
        <v>222300</v>
      </c>
      <c r="G76" s="5">
        <f>SUBTOTAL(9, G74:G75)</f>
        <v>0</v>
      </c>
      <c r="H76" s="5">
        <f>SUBTOTAL(9, H74:H75)</f>
        <v>222300</v>
      </c>
      <c r="I76" s="5">
        <f>IF(F76&lt;&gt;0, ((F76-G76)/F76)*100, 0)</f>
        <v>100</v>
      </c>
    </row>
    <row r="77" spans="1:9" customFormat="1" ht="14.5" x14ac:dyDescent="0.35">
      <c r="D77" s="10"/>
      <c r="F77" s="10"/>
      <c r="G77" s="10"/>
      <c r="H77" s="10"/>
      <c r="I77" s="10"/>
    </row>
    <row r="78" spans="1:9" x14ac:dyDescent="0.25">
      <c r="A78" s="2" t="s">
        <v>48</v>
      </c>
      <c r="B78" s="2" t="s">
        <v>49</v>
      </c>
      <c r="C78" s="2" t="s">
        <v>11</v>
      </c>
      <c r="E78" s="2" t="s">
        <v>11</v>
      </c>
      <c r="F78" s="6">
        <v>2000</v>
      </c>
      <c r="H78" s="6">
        <f>F78-G78</f>
        <v>2000</v>
      </c>
      <c r="I78" s="6">
        <f>IF(F78&lt;&gt;0, ((F78-G78)/F78)*100, 0)</f>
        <v>100</v>
      </c>
    </row>
    <row r="79" spans="1:9" customFormat="1" ht="14.5" x14ac:dyDescent="0.35">
      <c r="D79" s="10"/>
      <c r="F79" s="10"/>
      <c r="G79" s="10"/>
      <c r="H79" s="10"/>
      <c r="I79" s="10"/>
    </row>
    <row r="80" spans="1:9" s="4" customFormat="1" x14ac:dyDescent="0.25">
      <c r="A80" s="3" t="s">
        <v>11</v>
      </c>
      <c r="B80" s="3" t="s">
        <v>11</v>
      </c>
      <c r="C80" s="3" t="s">
        <v>11</v>
      </c>
      <c r="D80" s="5">
        <f>SUBTOTAL(9, D78:D79)</f>
        <v>0</v>
      </c>
      <c r="E80" s="3" t="s">
        <v>11</v>
      </c>
      <c r="F80" s="5">
        <f>SUBTOTAL(9, F78:F79)</f>
        <v>2000</v>
      </c>
      <c r="G80" s="5">
        <f>SUBTOTAL(9, G78:G79)</f>
        <v>0</v>
      </c>
      <c r="H80" s="5">
        <f>SUBTOTAL(9, H78:H79)</f>
        <v>2000</v>
      </c>
      <c r="I80" s="5">
        <f>IF(F80&lt;&gt;0, ((F80-G80)/F80)*100, 0)</f>
        <v>100</v>
      </c>
    </row>
    <row r="81" spans="1:9" customFormat="1" ht="14.5" x14ac:dyDescent="0.35">
      <c r="D81" s="10"/>
      <c r="F81" s="10"/>
      <c r="G81" s="10"/>
      <c r="H81" s="10"/>
      <c r="I81" s="10"/>
    </row>
    <row r="82" spans="1:9" x14ac:dyDescent="0.25">
      <c r="A82" s="2" t="s">
        <v>50</v>
      </c>
      <c r="B82" s="2" t="s">
        <v>51</v>
      </c>
      <c r="C82" s="2" t="s">
        <v>11</v>
      </c>
      <c r="E82" s="2" t="s">
        <v>11</v>
      </c>
      <c r="F82" s="6">
        <v>500</v>
      </c>
      <c r="H82" s="6">
        <f>F82-G82</f>
        <v>500</v>
      </c>
      <c r="I82" s="6">
        <f>IF(F82&lt;&gt;0, ((F82-G82)/F82)*100, 0)</f>
        <v>100</v>
      </c>
    </row>
    <row r="83" spans="1:9" customFormat="1" ht="14.5" x14ac:dyDescent="0.35">
      <c r="D83" s="10"/>
      <c r="F83" s="10"/>
      <c r="G83" s="10"/>
      <c r="H83" s="10"/>
      <c r="I83" s="10"/>
    </row>
    <row r="84" spans="1:9" s="4" customFormat="1" x14ac:dyDescent="0.25">
      <c r="A84" s="3" t="s">
        <v>11</v>
      </c>
      <c r="B84" s="3" t="s">
        <v>11</v>
      </c>
      <c r="C84" s="3" t="s">
        <v>11</v>
      </c>
      <c r="D84" s="5">
        <f>SUBTOTAL(9, D82:D83)</f>
        <v>0</v>
      </c>
      <c r="E84" s="3" t="s">
        <v>11</v>
      </c>
      <c r="F84" s="5">
        <f>SUBTOTAL(9, F82:F83)</f>
        <v>500</v>
      </c>
      <c r="G84" s="5">
        <f>SUBTOTAL(9, G82:G83)</f>
        <v>0</v>
      </c>
      <c r="H84" s="5">
        <f>SUBTOTAL(9, H82:H83)</f>
        <v>500</v>
      </c>
      <c r="I84" s="5">
        <f>IF(F84&lt;&gt;0, ((F84-G84)/F84)*100, 0)</f>
        <v>100</v>
      </c>
    </row>
    <row r="85" spans="1:9" customFormat="1" ht="14.5" x14ac:dyDescent="0.35">
      <c r="D85" s="10"/>
      <c r="F85" s="10"/>
      <c r="G85" s="10"/>
      <c r="H85" s="10"/>
      <c r="I85" s="10"/>
    </row>
    <row r="86" spans="1:9" x14ac:dyDescent="0.25">
      <c r="A86" s="2" t="s">
        <v>52</v>
      </c>
      <c r="B86" s="2" t="s">
        <v>53</v>
      </c>
      <c r="C86" s="2" t="s">
        <v>11</v>
      </c>
      <c r="E86" s="2" t="s">
        <v>11</v>
      </c>
      <c r="F86" s="6">
        <v>100000</v>
      </c>
      <c r="H86" s="6">
        <f>F86-G86</f>
        <v>100000</v>
      </c>
      <c r="I86" s="6">
        <f>IF(F86&lt;&gt;0, ((F86-G86)/F86)*100, 0)</f>
        <v>100</v>
      </c>
    </row>
    <row r="87" spans="1:9" customFormat="1" ht="14.5" x14ac:dyDescent="0.35">
      <c r="D87" s="10"/>
      <c r="F87" s="10"/>
      <c r="G87" s="10"/>
      <c r="H87" s="10"/>
      <c r="I87" s="10"/>
    </row>
    <row r="88" spans="1:9" s="4" customFormat="1" x14ac:dyDescent="0.25">
      <c r="A88" s="3" t="s">
        <v>11</v>
      </c>
      <c r="B88" s="3" t="s">
        <v>11</v>
      </c>
      <c r="C88" s="3" t="s">
        <v>11</v>
      </c>
      <c r="D88" s="5">
        <f>SUBTOTAL(9, D86:D87)</f>
        <v>0</v>
      </c>
      <c r="E88" s="3" t="s">
        <v>11</v>
      </c>
      <c r="F88" s="5">
        <f>SUBTOTAL(9, F86:F87)</f>
        <v>100000</v>
      </c>
      <c r="G88" s="5">
        <f>SUBTOTAL(9, G86:G87)</f>
        <v>0</v>
      </c>
      <c r="H88" s="5">
        <f>SUBTOTAL(9, H86:H87)</f>
        <v>100000</v>
      </c>
      <c r="I88" s="5">
        <f>IF(F88&lt;&gt;0, ((F88-G88)/F88)*100, 0)</f>
        <v>100</v>
      </c>
    </row>
    <row r="89" spans="1:9" customFormat="1" ht="14.5" x14ac:dyDescent="0.35">
      <c r="D89" s="10"/>
      <c r="F89" s="10"/>
      <c r="G89" s="10"/>
      <c r="H89" s="10"/>
      <c r="I89" s="10"/>
    </row>
    <row r="90" spans="1:9" x14ac:dyDescent="0.25">
      <c r="A90" s="2" t="s">
        <v>54</v>
      </c>
      <c r="B90" s="2" t="s">
        <v>55</v>
      </c>
      <c r="C90" s="2" t="s">
        <v>11</v>
      </c>
      <c r="E90" s="2" t="s">
        <v>11</v>
      </c>
      <c r="F90" s="6">
        <v>100000</v>
      </c>
      <c r="H90" s="6">
        <f>F90-G90</f>
        <v>100000</v>
      </c>
      <c r="I90" s="6">
        <f>IF(F90&lt;&gt;0, ((F90-G90)/F90)*100, 0)</f>
        <v>100</v>
      </c>
    </row>
    <row r="91" spans="1:9" customFormat="1" ht="14.5" x14ac:dyDescent="0.35">
      <c r="D91" s="10"/>
      <c r="F91" s="10"/>
      <c r="G91" s="10"/>
      <c r="H91" s="10"/>
      <c r="I91" s="10"/>
    </row>
    <row r="92" spans="1:9" s="4" customFormat="1" x14ac:dyDescent="0.25">
      <c r="A92" s="3" t="s">
        <v>11</v>
      </c>
      <c r="B92" s="3" t="s">
        <v>11</v>
      </c>
      <c r="C92" s="3" t="s">
        <v>11</v>
      </c>
      <c r="D92" s="5">
        <f>SUBTOTAL(9, D90:D91)</f>
        <v>0</v>
      </c>
      <c r="E92" s="3" t="s">
        <v>11</v>
      </c>
      <c r="F92" s="5">
        <f>SUBTOTAL(9, F90:F91)</f>
        <v>100000</v>
      </c>
      <c r="G92" s="5">
        <f>SUBTOTAL(9, G90:G91)</f>
        <v>0</v>
      </c>
      <c r="H92" s="5">
        <f>SUBTOTAL(9, H90:H91)</f>
        <v>100000</v>
      </c>
      <c r="I92" s="5">
        <f>IF(F92&lt;&gt;0, ((F92-G92)/F92)*100, 0)</f>
        <v>100</v>
      </c>
    </row>
    <row r="93" spans="1:9" customFormat="1" ht="14.5" x14ac:dyDescent="0.35">
      <c r="D93" s="10"/>
      <c r="F93" s="10"/>
      <c r="G93" s="10"/>
      <c r="H93" s="10"/>
      <c r="I93" s="10"/>
    </row>
    <row r="94" spans="1:9" x14ac:dyDescent="0.25">
      <c r="A94" s="2" t="s">
        <v>56</v>
      </c>
      <c r="B94" s="2" t="s">
        <v>57</v>
      </c>
      <c r="C94" s="2" t="s">
        <v>11</v>
      </c>
      <c r="E94" s="2" t="s">
        <v>11</v>
      </c>
      <c r="F94" s="6">
        <v>110000</v>
      </c>
      <c r="H94" s="6">
        <f>F94-G94</f>
        <v>110000</v>
      </c>
      <c r="I94" s="6">
        <f>IF(F94&lt;&gt;0, ((F94-G94)/F94)*100, 0)</f>
        <v>100</v>
      </c>
    </row>
    <row r="95" spans="1:9" customFormat="1" ht="14.5" x14ac:dyDescent="0.35">
      <c r="D95" s="10"/>
      <c r="F95" s="10"/>
      <c r="G95" s="10"/>
      <c r="H95" s="10"/>
      <c r="I95" s="10"/>
    </row>
    <row r="96" spans="1:9" s="4" customFormat="1" x14ac:dyDescent="0.25">
      <c r="A96" s="3" t="s">
        <v>11</v>
      </c>
      <c r="B96" s="3" t="s">
        <v>11</v>
      </c>
      <c r="C96" s="3" t="s">
        <v>11</v>
      </c>
      <c r="D96" s="5">
        <f>SUBTOTAL(9, D94:D95)</f>
        <v>0</v>
      </c>
      <c r="E96" s="3" t="s">
        <v>11</v>
      </c>
      <c r="F96" s="5">
        <f>SUBTOTAL(9, F94:F95)</f>
        <v>110000</v>
      </c>
      <c r="G96" s="5">
        <f>SUBTOTAL(9, G94:G95)</f>
        <v>0</v>
      </c>
      <c r="H96" s="5">
        <f>SUBTOTAL(9, H94:H95)</f>
        <v>110000</v>
      </c>
      <c r="I96" s="5">
        <f>IF(F96&lt;&gt;0, ((F96-G96)/F96)*100, 0)</f>
        <v>100</v>
      </c>
    </row>
    <row r="97" spans="1:9" customFormat="1" ht="14.5" x14ac:dyDescent="0.35">
      <c r="D97" s="10"/>
      <c r="F97" s="10"/>
      <c r="G97" s="10"/>
      <c r="H97" s="10"/>
      <c r="I97" s="10"/>
    </row>
    <row r="98" spans="1:9" x14ac:dyDescent="0.25">
      <c r="A98" s="2" t="s">
        <v>58</v>
      </c>
      <c r="B98" s="2" t="s">
        <v>59</v>
      </c>
      <c r="C98" s="2" t="s">
        <v>11</v>
      </c>
      <c r="E98" s="2" t="s">
        <v>11</v>
      </c>
      <c r="F98" s="6">
        <v>2700</v>
      </c>
      <c r="H98" s="6">
        <f>F98-G98</f>
        <v>2700</v>
      </c>
      <c r="I98" s="6">
        <f>IF(F98&lt;&gt;0, ((F98-G98)/F98)*100, 0)</f>
        <v>100</v>
      </c>
    </row>
    <row r="99" spans="1:9" customFormat="1" ht="14.5" x14ac:dyDescent="0.35">
      <c r="D99" s="10"/>
      <c r="F99" s="10"/>
      <c r="G99" s="10"/>
      <c r="H99" s="10"/>
      <c r="I99" s="10"/>
    </row>
    <row r="100" spans="1:9" s="4" customFormat="1" x14ac:dyDescent="0.25">
      <c r="A100" s="3" t="s">
        <v>11</v>
      </c>
      <c r="B100" s="3" t="s">
        <v>11</v>
      </c>
      <c r="C100" s="3" t="s">
        <v>11</v>
      </c>
      <c r="D100" s="5">
        <f>SUBTOTAL(9, D98:D99)</f>
        <v>0</v>
      </c>
      <c r="E100" s="3" t="s">
        <v>11</v>
      </c>
      <c r="F100" s="5">
        <f>SUBTOTAL(9, F98:F99)</f>
        <v>2700</v>
      </c>
      <c r="G100" s="5">
        <f>SUBTOTAL(9, G98:G99)</f>
        <v>0</v>
      </c>
      <c r="H100" s="5">
        <f>SUBTOTAL(9, H98:H99)</f>
        <v>2700</v>
      </c>
      <c r="I100" s="5">
        <f>IF(F100&lt;&gt;0, ((F100-G100)/F100)*100, 0)</f>
        <v>100</v>
      </c>
    </row>
    <row r="101" spans="1:9" customFormat="1" ht="14.5" x14ac:dyDescent="0.35">
      <c r="D101" s="10"/>
      <c r="F101" s="10"/>
      <c r="G101" s="10"/>
      <c r="H101" s="10"/>
      <c r="I101" s="10"/>
    </row>
    <row r="102" spans="1:9" x14ac:dyDescent="0.25">
      <c r="A102" s="2" t="s">
        <v>60</v>
      </c>
      <c r="B102" s="2" t="s">
        <v>61</v>
      </c>
      <c r="C102" s="2" t="s">
        <v>11</v>
      </c>
      <c r="E102" s="2" t="s">
        <v>11</v>
      </c>
      <c r="F102" s="6">
        <v>30000</v>
      </c>
      <c r="H102" s="6">
        <f>F102-G102</f>
        <v>30000</v>
      </c>
      <c r="I102" s="6">
        <f>IF(F102&lt;&gt;0, ((F102-G102)/F102)*100, 0)</f>
        <v>100</v>
      </c>
    </row>
    <row r="103" spans="1:9" customFormat="1" ht="14.5" x14ac:dyDescent="0.35">
      <c r="D103" s="10"/>
      <c r="F103" s="10"/>
      <c r="G103" s="10"/>
      <c r="H103" s="10"/>
      <c r="I103" s="10"/>
    </row>
    <row r="104" spans="1:9" s="4" customFormat="1" x14ac:dyDescent="0.25">
      <c r="A104" s="3" t="s">
        <v>11</v>
      </c>
      <c r="B104" s="3" t="s">
        <v>11</v>
      </c>
      <c r="C104" s="3" t="s">
        <v>11</v>
      </c>
      <c r="D104" s="5">
        <f>SUBTOTAL(9, D102:D103)</f>
        <v>0</v>
      </c>
      <c r="E104" s="3" t="s">
        <v>11</v>
      </c>
      <c r="F104" s="5">
        <f>SUBTOTAL(9, F102:F103)</f>
        <v>30000</v>
      </c>
      <c r="G104" s="5">
        <f>SUBTOTAL(9, G102:G103)</f>
        <v>0</v>
      </c>
      <c r="H104" s="5">
        <f>SUBTOTAL(9, H102:H103)</f>
        <v>30000</v>
      </c>
      <c r="I104" s="5">
        <f>IF(F104&lt;&gt;0, ((F104-G104)/F104)*100, 0)</f>
        <v>100</v>
      </c>
    </row>
    <row r="105" spans="1:9" customFormat="1" ht="14.5" x14ac:dyDescent="0.35">
      <c r="D105" s="10"/>
      <c r="F105" s="10"/>
      <c r="G105" s="10"/>
      <c r="H105" s="10"/>
      <c r="I105" s="10"/>
    </row>
    <row r="106" spans="1:9" x14ac:dyDescent="0.25">
      <c r="A106" s="2" t="s">
        <v>62</v>
      </c>
      <c r="B106" s="2" t="s">
        <v>63</v>
      </c>
      <c r="C106" s="2" t="s">
        <v>11</v>
      </c>
      <c r="E106" s="2" t="s">
        <v>11</v>
      </c>
      <c r="F106" s="6">
        <v>10000</v>
      </c>
      <c r="H106" s="6">
        <f>F106-G106</f>
        <v>10000</v>
      </c>
      <c r="I106" s="6">
        <f>IF(F106&lt;&gt;0, ((F106-G106)/F106)*100, 0)</f>
        <v>100</v>
      </c>
    </row>
    <row r="107" spans="1:9" customFormat="1" ht="14.5" x14ac:dyDescent="0.35">
      <c r="D107" s="10"/>
      <c r="F107" s="10"/>
      <c r="G107" s="10"/>
      <c r="H107" s="10"/>
      <c r="I107" s="10"/>
    </row>
    <row r="108" spans="1:9" s="4" customFormat="1" x14ac:dyDescent="0.25">
      <c r="A108" s="3" t="s">
        <v>11</v>
      </c>
      <c r="B108" s="3" t="s">
        <v>11</v>
      </c>
      <c r="C108" s="3" t="s">
        <v>11</v>
      </c>
      <c r="D108" s="5">
        <f>SUBTOTAL(9, D106:D107)</f>
        <v>0</v>
      </c>
      <c r="E108" s="3" t="s">
        <v>11</v>
      </c>
      <c r="F108" s="5">
        <f>SUBTOTAL(9, F106:F107)</f>
        <v>10000</v>
      </c>
      <c r="G108" s="5">
        <f>SUBTOTAL(9, G106:G107)</f>
        <v>0</v>
      </c>
      <c r="H108" s="5">
        <f>SUBTOTAL(9, H106:H107)</f>
        <v>10000</v>
      </c>
      <c r="I108" s="5">
        <f>IF(F108&lt;&gt;0, ((F108-G108)/F108)*100, 0)</f>
        <v>100</v>
      </c>
    </row>
    <row r="109" spans="1:9" customFormat="1" ht="14.5" x14ac:dyDescent="0.35">
      <c r="D109" s="10"/>
      <c r="F109" s="10"/>
      <c r="G109" s="10"/>
      <c r="H109" s="10"/>
      <c r="I109" s="10"/>
    </row>
    <row r="110" spans="1:9" x14ac:dyDescent="0.25">
      <c r="A110" s="2" t="s">
        <v>64</v>
      </c>
      <c r="B110" s="2" t="s">
        <v>65</v>
      </c>
      <c r="C110" s="2" t="s">
        <v>11</v>
      </c>
      <c r="E110" s="2" t="s">
        <v>11</v>
      </c>
      <c r="F110" s="6">
        <v>50000</v>
      </c>
      <c r="H110" s="6">
        <f>F110-G110</f>
        <v>50000</v>
      </c>
      <c r="I110" s="6">
        <f>IF(F110&lt;&gt;0, ((F110-G110)/F110)*100, 0)</f>
        <v>100</v>
      </c>
    </row>
    <row r="111" spans="1:9" customFormat="1" ht="14.5" x14ac:dyDescent="0.35">
      <c r="D111" s="10"/>
      <c r="F111" s="10"/>
      <c r="G111" s="10"/>
      <c r="H111" s="10"/>
      <c r="I111" s="10"/>
    </row>
    <row r="112" spans="1:9" s="4" customFormat="1" x14ac:dyDescent="0.25">
      <c r="A112" s="3" t="s">
        <v>11</v>
      </c>
      <c r="B112" s="3" t="s">
        <v>11</v>
      </c>
      <c r="C112" s="3" t="s">
        <v>11</v>
      </c>
      <c r="D112" s="5">
        <f>SUBTOTAL(9, D110:D111)</f>
        <v>0</v>
      </c>
      <c r="E112" s="3" t="s">
        <v>11</v>
      </c>
      <c r="F112" s="5">
        <f>SUBTOTAL(9, F110:F111)</f>
        <v>50000</v>
      </c>
      <c r="G112" s="5">
        <f>SUBTOTAL(9, G110:G111)</f>
        <v>0</v>
      </c>
      <c r="H112" s="5">
        <f>SUBTOTAL(9, H110:H111)</f>
        <v>50000</v>
      </c>
      <c r="I112" s="5">
        <f>IF(F112&lt;&gt;0, ((F112-G112)/F112)*100, 0)</f>
        <v>100</v>
      </c>
    </row>
    <row r="113" spans="1:9" customFormat="1" ht="14.5" x14ac:dyDescent="0.35">
      <c r="D113" s="10"/>
      <c r="F113" s="10"/>
      <c r="G113" s="10"/>
      <c r="H113" s="10"/>
      <c r="I113" s="10"/>
    </row>
    <row r="114" spans="1:9" x14ac:dyDescent="0.25">
      <c r="A114" s="2" t="s">
        <v>66</v>
      </c>
      <c r="B114" s="2" t="s">
        <v>67</v>
      </c>
      <c r="C114" s="2" t="s">
        <v>11</v>
      </c>
      <c r="E114" s="2" t="s">
        <v>11</v>
      </c>
      <c r="F114" s="6">
        <v>100000</v>
      </c>
      <c r="H114" s="6">
        <f>F114-G114</f>
        <v>100000</v>
      </c>
      <c r="I114" s="6">
        <f>IF(F114&lt;&gt;0, ((F114-G114)/F114)*100, 0)</f>
        <v>100</v>
      </c>
    </row>
    <row r="115" spans="1:9" customFormat="1" ht="14.5" x14ac:dyDescent="0.35">
      <c r="D115" s="10"/>
      <c r="F115" s="10"/>
      <c r="G115" s="10"/>
      <c r="H115" s="10"/>
      <c r="I115" s="10"/>
    </row>
    <row r="116" spans="1:9" s="4" customFormat="1" x14ac:dyDescent="0.25">
      <c r="A116" s="3" t="s">
        <v>11</v>
      </c>
      <c r="B116" s="3" t="s">
        <v>11</v>
      </c>
      <c r="C116" s="3" t="s">
        <v>11</v>
      </c>
      <c r="D116" s="5">
        <f>SUBTOTAL(9, D114:D115)</f>
        <v>0</v>
      </c>
      <c r="E116" s="3" t="s">
        <v>11</v>
      </c>
      <c r="F116" s="5">
        <f>SUBTOTAL(9, F114:F115)</f>
        <v>100000</v>
      </c>
      <c r="G116" s="5">
        <f>SUBTOTAL(9, G114:G115)</f>
        <v>0</v>
      </c>
      <c r="H116" s="5">
        <f>SUBTOTAL(9, H114:H115)</f>
        <v>100000</v>
      </c>
      <c r="I116" s="5">
        <f>IF(F116&lt;&gt;0, ((F116-G116)/F116)*100, 0)</f>
        <v>100</v>
      </c>
    </row>
    <row r="117" spans="1:9" customFormat="1" ht="14.5" x14ac:dyDescent="0.35">
      <c r="D117" s="10"/>
      <c r="F117" s="10"/>
      <c r="G117" s="10"/>
      <c r="H117" s="10"/>
      <c r="I117" s="10"/>
    </row>
    <row r="118" spans="1:9" x14ac:dyDescent="0.25">
      <c r="A118" s="2" t="s">
        <v>68</v>
      </c>
      <c r="B118" s="2" t="s">
        <v>69</v>
      </c>
      <c r="C118" s="2" t="s">
        <v>11</v>
      </c>
      <c r="E118" s="2" t="s">
        <v>11</v>
      </c>
      <c r="F118" s="6">
        <v>2000</v>
      </c>
      <c r="H118" s="6">
        <f>F118-G118</f>
        <v>2000</v>
      </c>
      <c r="I118" s="6">
        <f>IF(F118&lt;&gt;0, ((F118-G118)/F118)*100, 0)</f>
        <v>100</v>
      </c>
    </row>
    <row r="119" spans="1:9" customFormat="1" ht="14.5" x14ac:dyDescent="0.35">
      <c r="D119" s="10"/>
      <c r="F119" s="10"/>
      <c r="G119" s="10"/>
      <c r="H119" s="10"/>
      <c r="I119" s="10"/>
    </row>
    <row r="120" spans="1:9" s="4" customFormat="1" x14ac:dyDescent="0.25">
      <c r="A120" s="3" t="s">
        <v>11</v>
      </c>
      <c r="B120" s="3" t="s">
        <v>11</v>
      </c>
      <c r="C120" s="3" t="s">
        <v>11</v>
      </c>
      <c r="D120" s="5">
        <f>SUBTOTAL(9, D118:D119)</f>
        <v>0</v>
      </c>
      <c r="E120" s="3" t="s">
        <v>11</v>
      </c>
      <c r="F120" s="5">
        <f>SUBTOTAL(9, F118:F119)</f>
        <v>2000</v>
      </c>
      <c r="G120" s="5">
        <f>SUBTOTAL(9, G118:G119)</f>
        <v>0</v>
      </c>
      <c r="H120" s="5">
        <f>SUBTOTAL(9, H118:H119)</f>
        <v>2000</v>
      </c>
      <c r="I120" s="5">
        <f>IF(F120&lt;&gt;0, ((F120-G120)/F120)*100, 0)</f>
        <v>100</v>
      </c>
    </row>
    <row r="121" spans="1:9" customFormat="1" ht="14.5" x14ac:dyDescent="0.35">
      <c r="D121" s="10"/>
      <c r="F121" s="10"/>
      <c r="G121" s="10"/>
      <c r="H121" s="10"/>
      <c r="I121" s="10"/>
    </row>
    <row r="122" spans="1:9" x14ac:dyDescent="0.25">
      <c r="A122" s="2" t="s">
        <v>70</v>
      </c>
      <c r="B122" s="2" t="s">
        <v>71</v>
      </c>
      <c r="C122" s="2" t="s">
        <v>11</v>
      </c>
      <c r="E122" s="2" t="s">
        <v>11</v>
      </c>
      <c r="F122" s="6">
        <v>5000</v>
      </c>
      <c r="H122" s="6">
        <f>F122-G122</f>
        <v>5000</v>
      </c>
      <c r="I122" s="6">
        <f>IF(F122&lt;&gt;0, ((F122-G122)/F122)*100, 0)</f>
        <v>100</v>
      </c>
    </row>
    <row r="123" spans="1:9" customFormat="1" ht="14.5" x14ac:dyDescent="0.35">
      <c r="D123" s="10"/>
      <c r="F123" s="10"/>
      <c r="G123" s="10"/>
      <c r="H123" s="10"/>
      <c r="I123" s="10"/>
    </row>
    <row r="124" spans="1:9" s="4" customFormat="1" x14ac:dyDescent="0.25">
      <c r="A124" s="3" t="s">
        <v>11</v>
      </c>
      <c r="B124" s="3" t="s">
        <v>11</v>
      </c>
      <c r="C124" s="3" t="s">
        <v>11</v>
      </c>
      <c r="D124" s="5">
        <f>SUBTOTAL(9, D122:D123)</f>
        <v>0</v>
      </c>
      <c r="E124" s="3" t="s">
        <v>11</v>
      </c>
      <c r="F124" s="5">
        <f>SUBTOTAL(9, F122:F123)</f>
        <v>5000</v>
      </c>
      <c r="G124" s="5">
        <f>SUBTOTAL(9, G122:G123)</f>
        <v>0</v>
      </c>
      <c r="H124" s="5">
        <f>SUBTOTAL(9, H122:H123)</f>
        <v>5000</v>
      </c>
      <c r="I124" s="5">
        <f>IF(F124&lt;&gt;0, ((F124-G124)/F124)*100, 0)</f>
        <v>100</v>
      </c>
    </row>
    <row r="125" spans="1:9" customFormat="1" ht="14.5" x14ac:dyDescent="0.35">
      <c r="D125" s="10"/>
      <c r="F125" s="10"/>
      <c r="G125" s="10"/>
      <c r="H125" s="10"/>
      <c r="I125" s="10"/>
    </row>
    <row r="126" spans="1:9" x14ac:dyDescent="0.25">
      <c r="A126" s="2" t="s">
        <v>72</v>
      </c>
      <c r="B126" s="2" t="s">
        <v>73</v>
      </c>
      <c r="C126" s="2" t="s">
        <v>11</v>
      </c>
      <c r="E126" s="2" t="s">
        <v>11</v>
      </c>
      <c r="F126" s="6">
        <v>1500</v>
      </c>
      <c r="H126" s="6">
        <f>F126-G126</f>
        <v>1500</v>
      </c>
      <c r="I126" s="6">
        <f>IF(F126&lt;&gt;0, ((F126-G126)/F126)*100, 0)</f>
        <v>100</v>
      </c>
    </row>
    <row r="127" spans="1:9" customFormat="1" ht="14.5" x14ac:dyDescent="0.35">
      <c r="D127" s="10"/>
      <c r="F127" s="10"/>
      <c r="G127" s="10"/>
      <c r="H127" s="10"/>
      <c r="I127" s="10"/>
    </row>
    <row r="128" spans="1:9" s="4" customFormat="1" x14ac:dyDescent="0.25">
      <c r="A128" s="3" t="s">
        <v>11</v>
      </c>
      <c r="B128" s="3" t="s">
        <v>11</v>
      </c>
      <c r="C128" s="3" t="s">
        <v>11</v>
      </c>
      <c r="D128" s="5">
        <f>SUBTOTAL(9, D126:D127)</f>
        <v>0</v>
      </c>
      <c r="E128" s="3" t="s">
        <v>11</v>
      </c>
      <c r="F128" s="5">
        <f>SUBTOTAL(9, F126:F127)</f>
        <v>1500</v>
      </c>
      <c r="G128" s="5">
        <f>SUBTOTAL(9, G126:G127)</f>
        <v>0</v>
      </c>
      <c r="H128" s="5">
        <f>SUBTOTAL(9, H126:H127)</f>
        <v>1500</v>
      </c>
      <c r="I128" s="5">
        <f>IF(F128&lt;&gt;0, ((F128-G128)/F128)*100, 0)</f>
        <v>100</v>
      </c>
    </row>
    <row r="129" spans="1:9" customFormat="1" ht="14.5" x14ac:dyDescent="0.35">
      <c r="D129" s="10"/>
      <c r="F129" s="10"/>
      <c r="G129" s="10"/>
      <c r="H129" s="10"/>
      <c r="I129" s="10"/>
    </row>
    <row r="130" spans="1:9" x14ac:dyDescent="0.25">
      <c r="A130" s="2" t="s">
        <v>74</v>
      </c>
      <c r="B130" s="2" t="s">
        <v>75</v>
      </c>
      <c r="C130" s="2" t="s">
        <v>11</v>
      </c>
      <c r="E130" s="2" t="s">
        <v>11</v>
      </c>
      <c r="F130" s="6">
        <v>6000</v>
      </c>
      <c r="H130" s="6">
        <f>F130-G130</f>
        <v>6000</v>
      </c>
      <c r="I130" s="6">
        <f>IF(F130&lt;&gt;0, ((F130-G130)/F130)*100, 0)</f>
        <v>100</v>
      </c>
    </row>
    <row r="131" spans="1:9" customFormat="1" ht="14.5" x14ac:dyDescent="0.35">
      <c r="D131" s="10"/>
      <c r="F131" s="10"/>
      <c r="G131" s="10"/>
      <c r="H131" s="10"/>
      <c r="I131" s="10"/>
    </row>
    <row r="132" spans="1:9" s="4" customFormat="1" x14ac:dyDescent="0.25">
      <c r="A132" s="3" t="s">
        <v>11</v>
      </c>
      <c r="B132" s="3" t="s">
        <v>11</v>
      </c>
      <c r="C132" s="3" t="s">
        <v>11</v>
      </c>
      <c r="D132" s="5">
        <f>SUBTOTAL(9, D130:D131)</f>
        <v>0</v>
      </c>
      <c r="E132" s="3" t="s">
        <v>11</v>
      </c>
      <c r="F132" s="5">
        <f>SUBTOTAL(9, F130:F131)</f>
        <v>6000</v>
      </c>
      <c r="G132" s="5">
        <f>SUBTOTAL(9, G130:G131)</f>
        <v>0</v>
      </c>
      <c r="H132" s="5">
        <f>SUBTOTAL(9, H130:H131)</f>
        <v>6000</v>
      </c>
      <c r="I132" s="5">
        <f>IF(F132&lt;&gt;0, ((F132-G132)/F132)*100, 0)</f>
        <v>100</v>
      </c>
    </row>
    <row r="133" spans="1:9" customFormat="1" ht="14.5" x14ac:dyDescent="0.35">
      <c r="D133" s="10"/>
      <c r="F133" s="10"/>
      <c r="G133" s="10"/>
      <c r="H133" s="10"/>
      <c r="I133" s="10"/>
    </row>
    <row r="134" spans="1:9" x14ac:dyDescent="0.25">
      <c r="A134" s="2" t="s">
        <v>76</v>
      </c>
      <c r="B134" s="2" t="s">
        <v>77</v>
      </c>
      <c r="C134" s="2" t="s">
        <v>11</v>
      </c>
      <c r="E134" s="2" t="s">
        <v>11</v>
      </c>
      <c r="F134" s="6">
        <v>4000</v>
      </c>
      <c r="H134" s="6">
        <f>F134-G134</f>
        <v>4000</v>
      </c>
      <c r="I134" s="6">
        <f>IF(F134&lt;&gt;0, ((F134-G134)/F134)*100, 0)</f>
        <v>100</v>
      </c>
    </row>
    <row r="135" spans="1:9" customFormat="1" ht="14.5" x14ac:dyDescent="0.35">
      <c r="D135" s="10"/>
      <c r="F135" s="10"/>
      <c r="G135" s="10"/>
      <c r="H135" s="10"/>
      <c r="I135" s="10"/>
    </row>
    <row r="136" spans="1:9" s="4" customFormat="1" x14ac:dyDescent="0.25">
      <c r="A136" s="3" t="s">
        <v>11</v>
      </c>
      <c r="B136" s="3" t="s">
        <v>11</v>
      </c>
      <c r="C136" s="3" t="s">
        <v>11</v>
      </c>
      <c r="D136" s="5">
        <f>SUBTOTAL(9, D134:D135)</f>
        <v>0</v>
      </c>
      <c r="E136" s="3" t="s">
        <v>11</v>
      </c>
      <c r="F136" s="5">
        <f>SUBTOTAL(9, F134:F135)</f>
        <v>4000</v>
      </c>
      <c r="G136" s="5">
        <f>SUBTOTAL(9, G134:G135)</f>
        <v>0</v>
      </c>
      <c r="H136" s="5">
        <f>SUBTOTAL(9, H134:H135)</f>
        <v>4000</v>
      </c>
      <c r="I136" s="5">
        <f>IF(F136&lt;&gt;0, ((F136-G136)/F136)*100, 0)</f>
        <v>100</v>
      </c>
    </row>
    <row r="137" spans="1:9" customFormat="1" ht="14.5" x14ac:dyDescent="0.35">
      <c r="D137" s="10"/>
      <c r="F137" s="10"/>
      <c r="G137" s="10"/>
      <c r="H137" s="10"/>
      <c r="I137" s="10"/>
    </row>
    <row r="138" spans="1:9" x14ac:dyDescent="0.25">
      <c r="A138" s="2" t="s">
        <v>78</v>
      </c>
      <c r="B138" s="2" t="s">
        <v>79</v>
      </c>
      <c r="C138" s="2" t="s">
        <v>11</v>
      </c>
      <c r="E138" s="2" t="s">
        <v>11</v>
      </c>
      <c r="F138" s="6">
        <v>6200</v>
      </c>
      <c r="H138" s="6">
        <f>F138-G138</f>
        <v>6200</v>
      </c>
      <c r="I138" s="6">
        <f>IF(F138&lt;&gt;0, ((F138-G138)/F138)*100, 0)</f>
        <v>100</v>
      </c>
    </row>
    <row r="139" spans="1:9" customFormat="1" ht="14.5" x14ac:dyDescent="0.35">
      <c r="D139" s="10"/>
      <c r="F139" s="10"/>
      <c r="G139" s="10"/>
      <c r="H139" s="10"/>
      <c r="I139" s="10"/>
    </row>
    <row r="140" spans="1:9" s="4" customFormat="1" x14ac:dyDescent="0.25">
      <c r="A140" s="3" t="s">
        <v>11</v>
      </c>
      <c r="B140" s="3" t="s">
        <v>11</v>
      </c>
      <c r="C140" s="3" t="s">
        <v>11</v>
      </c>
      <c r="D140" s="5">
        <f>SUBTOTAL(9, D138:D139)</f>
        <v>0</v>
      </c>
      <c r="E140" s="3" t="s">
        <v>11</v>
      </c>
      <c r="F140" s="5">
        <f>SUBTOTAL(9, F138:F139)</f>
        <v>6200</v>
      </c>
      <c r="G140" s="5">
        <f>SUBTOTAL(9, G138:G139)</f>
        <v>0</v>
      </c>
      <c r="H140" s="5">
        <f>SUBTOTAL(9, H138:H139)</f>
        <v>6200</v>
      </c>
      <c r="I140" s="5">
        <f>IF(F140&lt;&gt;0, ((F140-G140)/F140)*100, 0)</f>
        <v>100</v>
      </c>
    </row>
    <row r="141" spans="1:9" customFormat="1" ht="14.5" x14ac:dyDescent="0.35">
      <c r="D141" s="10"/>
      <c r="F141" s="10"/>
      <c r="G141" s="10"/>
      <c r="H141" s="10"/>
      <c r="I141" s="10"/>
    </row>
    <row r="142" spans="1:9" x14ac:dyDescent="0.25">
      <c r="A142" s="2" t="s">
        <v>80</v>
      </c>
      <c r="B142" s="2" t="s">
        <v>81</v>
      </c>
      <c r="C142" s="2" t="s">
        <v>11</v>
      </c>
      <c r="E142" s="2" t="s">
        <v>11</v>
      </c>
      <c r="F142" s="6">
        <v>3500</v>
      </c>
      <c r="H142" s="6">
        <f>F142-G142</f>
        <v>3500</v>
      </c>
      <c r="I142" s="6">
        <f>IF(F142&lt;&gt;0, ((F142-G142)/F142)*100, 0)</f>
        <v>100</v>
      </c>
    </row>
    <row r="143" spans="1:9" customFormat="1" ht="14.5" x14ac:dyDescent="0.35">
      <c r="D143" s="10"/>
      <c r="F143" s="10"/>
      <c r="G143" s="10"/>
      <c r="H143" s="10"/>
      <c r="I143" s="10"/>
    </row>
    <row r="144" spans="1:9" s="4" customFormat="1" x14ac:dyDescent="0.25">
      <c r="A144" s="3" t="s">
        <v>11</v>
      </c>
      <c r="B144" s="3" t="s">
        <v>11</v>
      </c>
      <c r="C144" s="3" t="s">
        <v>11</v>
      </c>
      <c r="D144" s="5">
        <f>SUBTOTAL(9, D142:D143)</f>
        <v>0</v>
      </c>
      <c r="E144" s="3" t="s">
        <v>11</v>
      </c>
      <c r="F144" s="5">
        <f>SUBTOTAL(9, F142:F143)</f>
        <v>3500</v>
      </c>
      <c r="G144" s="5">
        <f>SUBTOTAL(9, G142:G143)</f>
        <v>0</v>
      </c>
      <c r="H144" s="5">
        <f>SUBTOTAL(9, H142:H143)</f>
        <v>3500</v>
      </c>
      <c r="I144" s="5">
        <f>IF(F144&lt;&gt;0, ((F144-G144)/F144)*100, 0)</f>
        <v>100</v>
      </c>
    </row>
    <row r="145" spans="1:9" customFormat="1" ht="14.5" x14ac:dyDescent="0.35">
      <c r="D145" s="10"/>
      <c r="F145" s="10"/>
      <c r="G145" s="10"/>
      <c r="H145" s="10"/>
      <c r="I145" s="10"/>
    </row>
    <row r="146" spans="1:9" x14ac:dyDescent="0.25">
      <c r="A146" s="2" t="s">
        <v>82</v>
      </c>
      <c r="B146" s="2" t="s">
        <v>83</v>
      </c>
      <c r="C146" s="2" t="s">
        <v>11</v>
      </c>
      <c r="E146" s="2" t="s">
        <v>11</v>
      </c>
      <c r="F146" s="6">
        <v>2000</v>
      </c>
      <c r="H146" s="6">
        <f>F146-G146</f>
        <v>2000</v>
      </c>
      <c r="I146" s="6">
        <f>IF(F146&lt;&gt;0, ((F146-G146)/F146)*100, 0)</f>
        <v>100</v>
      </c>
    </row>
    <row r="147" spans="1:9" customFormat="1" ht="14.5" x14ac:dyDescent="0.35">
      <c r="D147" s="10"/>
      <c r="F147" s="10"/>
      <c r="G147" s="10"/>
      <c r="H147" s="10"/>
      <c r="I147" s="10"/>
    </row>
    <row r="148" spans="1:9" s="4" customFormat="1" x14ac:dyDescent="0.25">
      <c r="A148" s="3" t="s">
        <v>11</v>
      </c>
      <c r="B148" s="3" t="s">
        <v>11</v>
      </c>
      <c r="C148" s="3" t="s">
        <v>11</v>
      </c>
      <c r="D148" s="5">
        <f>SUBTOTAL(9, D146:D147)</f>
        <v>0</v>
      </c>
      <c r="E148" s="3" t="s">
        <v>11</v>
      </c>
      <c r="F148" s="5">
        <f>SUBTOTAL(9, F146:F147)</f>
        <v>2000</v>
      </c>
      <c r="G148" s="5">
        <f>SUBTOTAL(9, G146:G147)</f>
        <v>0</v>
      </c>
      <c r="H148" s="5">
        <f>SUBTOTAL(9, H146:H147)</f>
        <v>2000</v>
      </c>
      <c r="I148" s="5">
        <f>IF(F148&lt;&gt;0, ((F148-G148)/F148)*100, 0)</f>
        <v>100</v>
      </c>
    </row>
    <row r="149" spans="1:9" customFormat="1" ht="14.5" x14ac:dyDescent="0.35">
      <c r="D149" s="10"/>
      <c r="F149" s="10"/>
      <c r="G149" s="10"/>
      <c r="H149" s="10"/>
      <c r="I149" s="10"/>
    </row>
    <row r="150" spans="1:9" x14ac:dyDescent="0.25">
      <c r="A150" s="2" t="s">
        <v>84</v>
      </c>
      <c r="B150" s="2" t="s">
        <v>85</v>
      </c>
      <c r="C150" s="2" t="s">
        <v>11</v>
      </c>
      <c r="E150" s="2" t="s">
        <v>11</v>
      </c>
      <c r="F150" s="6">
        <v>3500</v>
      </c>
      <c r="H150" s="6">
        <f>F150-G150</f>
        <v>3500</v>
      </c>
      <c r="I150" s="6">
        <f>IF(F150&lt;&gt;0, ((F150-G150)/F150)*100, 0)</f>
        <v>100</v>
      </c>
    </row>
    <row r="151" spans="1:9" customFormat="1" ht="14.5" x14ac:dyDescent="0.35">
      <c r="D151" s="10"/>
      <c r="F151" s="10"/>
      <c r="G151" s="10"/>
      <c r="H151" s="10"/>
      <c r="I151" s="10"/>
    </row>
    <row r="152" spans="1:9" s="4" customFormat="1" x14ac:dyDescent="0.25">
      <c r="A152" s="3" t="s">
        <v>11</v>
      </c>
      <c r="B152" s="3" t="s">
        <v>11</v>
      </c>
      <c r="C152" s="3" t="s">
        <v>11</v>
      </c>
      <c r="D152" s="5">
        <f>SUBTOTAL(9, D150:D151)</f>
        <v>0</v>
      </c>
      <c r="E152" s="3" t="s">
        <v>11</v>
      </c>
      <c r="F152" s="5">
        <f>SUBTOTAL(9, F150:F151)</f>
        <v>3500</v>
      </c>
      <c r="G152" s="5">
        <f>SUBTOTAL(9, G150:G151)</f>
        <v>0</v>
      </c>
      <c r="H152" s="5">
        <f>SUBTOTAL(9, H150:H151)</f>
        <v>3500</v>
      </c>
      <c r="I152" s="5">
        <f>IF(F152&lt;&gt;0, ((F152-G152)/F152)*100, 0)</f>
        <v>100</v>
      </c>
    </row>
    <row r="153" spans="1:9" customFormat="1" ht="14.5" x14ac:dyDescent="0.35">
      <c r="D153" s="10"/>
      <c r="F153" s="10"/>
      <c r="G153" s="10"/>
      <c r="H153" s="10"/>
      <c r="I153" s="10"/>
    </row>
    <row r="154" spans="1:9" x14ac:dyDescent="0.25">
      <c r="A154" s="2" t="s">
        <v>86</v>
      </c>
      <c r="B154" s="2" t="s">
        <v>87</v>
      </c>
      <c r="C154" s="2" t="s">
        <v>11</v>
      </c>
      <c r="E154" s="2" t="s">
        <v>11</v>
      </c>
      <c r="F154" s="6">
        <v>2950</v>
      </c>
      <c r="H154" s="6">
        <f>F154-G154</f>
        <v>2950</v>
      </c>
      <c r="I154" s="6">
        <f>IF(F154&lt;&gt;0, ((F154-G154)/F154)*100, 0)</f>
        <v>100</v>
      </c>
    </row>
    <row r="155" spans="1:9" customFormat="1" ht="14.5" x14ac:dyDescent="0.35">
      <c r="D155" s="10"/>
      <c r="F155" s="10"/>
      <c r="G155" s="10"/>
      <c r="H155" s="10"/>
      <c r="I155" s="10"/>
    </row>
    <row r="156" spans="1:9" s="4" customFormat="1" x14ac:dyDescent="0.25">
      <c r="A156" s="3" t="s">
        <v>11</v>
      </c>
      <c r="B156" s="3" t="s">
        <v>11</v>
      </c>
      <c r="C156" s="3" t="s">
        <v>11</v>
      </c>
      <c r="D156" s="5">
        <f>SUBTOTAL(9, D154:D155)</f>
        <v>0</v>
      </c>
      <c r="E156" s="3" t="s">
        <v>11</v>
      </c>
      <c r="F156" s="5">
        <f>SUBTOTAL(9, F154:F155)</f>
        <v>2950</v>
      </c>
      <c r="G156" s="5">
        <f>SUBTOTAL(9, G154:G155)</f>
        <v>0</v>
      </c>
      <c r="H156" s="5">
        <f>SUBTOTAL(9, H154:H155)</f>
        <v>2950</v>
      </c>
      <c r="I156" s="5">
        <f>IF(F156&lt;&gt;0, ((F156-G156)/F156)*100, 0)</f>
        <v>100</v>
      </c>
    </row>
    <row r="157" spans="1:9" customFormat="1" ht="14.5" x14ac:dyDescent="0.35">
      <c r="D157" s="10"/>
      <c r="F157" s="10"/>
      <c r="G157" s="10"/>
      <c r="H157" s="10"/>
      <c r="I157" s="10"/>
    </row>
    <row r="158" spans="1:9" x14ac:dyDescent="0.25">
      <c r="A158" s="2" t="s">
        <v>88</v>
      </c>
      <c r="B158" s="2" t="s">
        <v>89</v>
      </c>
      <c r="C158" s="2" t="s">
        <v>11</v>
      </c>
      <c r="E158" s="2" t="s">
        <v>11</v>
      </c>
      <c r="F158" s="6">
        <v>282500</v>
      </c>
      <c r="H158" s="6">
        <f>F158-G158</f>
        <v>282500</v>
      </c>
      <c r="I158" s="6">
        <f>IF(F158&lt;&gt;0, ((F158-G158)/F158)*100, 0)</f>
        <v>100</v>
      </c>
    </row>
    <row r="159" spans="1:9" customFormat="1" ht="14.5" x14ac:dyDescent="0.35">
      <c r="D159" s="10"/>
      <c r="F159" s="10"/>
      <c r="G159" s="10"/>
      <c r="H159" s="10"/>
      <c r="I159" s="10"/>
    </row>
    <row r="160" spans="1:9" s="4" customFormat="1" x14ac:dyDescent="0.25">
      <c r="A160" s="3" t="s">
        <v>11</v>
      </c>
      <c r="B160" s="3" t="s">
        <v>11</v>
      </c>
      <c r="C160" s="3" t="s">
        <v>11</v>
      </c>
      <c r="D160" s="5">
        <f>SUBTOTAL(9, D158:D159)</f>
        <v>0</v>
      </c>
      <c r="E160" s="3" t="s">
        <v>11</v>
      </c>
      <c r="F160" s="5">
        <f>SUBTOTAL(9, F158:F159)</f>
        <v>282500</v>
      </c>
      <c r="G160" s="5">
        <f>SUBTOTAL(9, G158:G159)</f>
        <v>0</v>
      </c>
      <c r="H160" s="5">
        <f>SUBTOTAL(9, H158:H159)</f>
        <v>282500</v>
      </c>
      <c r="I160" s="5">
        <f>IF(F160&lt;&gt;0, ((F160-G160)/F160)*100, 0)</f>
        <v>100</v>
      </c>
    </row>
    <row r="161" spans="1:9" customFormat="1" ht="14.5" x14ac:dyDescent="0.35">
      <c r="D161" s="10"/>
      <c r="F161" s="10"/>
      <c r="G161" s="10"/>
      <c r="H161" s="10"/>
      <c r="I161" s="10"/>
    </row>
    <row r="162" spans="1:9" x14ac:dyDescent="0.25">
      <c r="A162" s="2" t="s">
        <v>90</v>
      </c>
      <c r="B162" s="2" t="s">
        <v>91</v>
      </c>
      <c r="C162" s="2" t="s">
        <v>11</v>
      </c>
      <c r="E162" s="2" t="s">
        <v>11</v>
      </c>
      <c r="F162" s="6">
        <v>2500</v>
      </c>
      <c r="H162" s="6">
        <f>F162-G162</f>
        <v>2500</v>
      </c>
      <c r="I162" s="6">
        <f>IF(F162&lt;&gt;0, ((F162-G162)/F162)*100, 0)</f>
        <v>100</v>
      </c>
    </row>
    <row r="163" spans="1:9" customFormat="1" ht="14.5" x14ac:dyDescent="0.35">
      <c r="D163" s="10"/>
      <c r="F163" s="10"/>
      <c r="G163" s="10"/>
      <c r="H163" s="10"/>
      <c r="I163" s="10"/>
    </row>
    <row r="164" spans="1:9" s="4" customFormat="1" x14ac:dyDescent="0.25">
      <c r="A164" s="3" t="s">
        <v>11</v>
      </c>
      <c r="B164" s="3" t="s">
        <v>11</v>
      </c>
      <c r="C164" s="3" t="s">
        <v>11</v>
      </c>
      <c r="D164" s="5">
        <f>SUBTOTAL(9, D162:D163)</f>
        <v>0</v>
      </c>
      <c r="E164" s="3" t="s">
        <v>11</v>
      </c>
      <c r="F164" s="5">
        <f>SUBTOTAL(9, F162:F163)</f>
        <v>2500</v>
      </c>
      <c r="G164" s="5">
        <f>SUBTOTAL(9, G162:G163)</f>
        <v>0</v>
      </c>
      <c r="H164" s="5">
        <f>SUBTOTAL(9, H162:H163)</f>
        <v>2500</v>
      </c>
      <c r="I164" s="5">
        <f>IF(F164&lt;&gt;0, ((F164-G164)/F164)*100, 0)</f>
        <v>100</v>
      </c>
    </row>
    <row r="165" spans="1:9" customFormat="1" ht="14.5" x14ac:dyDescent="0.35">
      <c r="D165" s="10"/>
      <c r="F165" s="10"/>
      <c r="G165" s="10"/>
      <c r="H165" s="10"/>
      <c r="I165" s="10"/>
    </row>
    <row r="166" spans="1:9" x14ac:dyDescent="0.25">
      <c r="A166" s="2" t="s">
        <v>92</v>
      </c>
      <c r="B166" s="2" t="s">
        <v>93</v>
      </c>
      <c r="C166" s="2" t="s">
        <v>11</v>
      </c>
      <c r="E166" s="2" t="s">
        <v>11</v>
      </c>
      <c r="F166" s="6">
        <v>10000</v>
      </c>
      <c r="H166" s="6">
        <f>F166-G166</f>
        <v>10000</v>
      </c>
      <c r="I166" s="6">
        <f>IF(F166&lt;&gt;0, ((F166-G166)/F166)*100, 0)</f>
        <v>100</v>
      </c>
    </row>
    <row r="167" spans="1:9" customFormat="1" ht="14.5" x14ac:dyDescent="0.35">
      <c r="D167" s="10"/>
      <c r="F167" s="10"/>
      <c r="G167" s="10"/>
      <c r="H167" s="10"/>
      <c r="I167" s="10"/>
    </row>
    <row r="168" spans="1:9" s="4" customFormat="1" x14ac:dyDescent="0.25">
      <c r="A168" s="3" t="s">
        <v>11</v>
      </c>
      <c r="B168" s="3" t="s">
        <v>11</v>
      </c>
      <c r="C168" s="3" t="s">
        <v>11</v>
      </c>
      <c r="D168" s="5">
        <f>SUBTOTAL(9, D166:D167)</f>
        <v>0</v>
      </c>
      <c r="E168" s="3" t="s">
        <v>11</v>
      </c>
      <c r="F168" s="5">
        <f>SUBTOTAL(9, F166:F167)</f>
        <v>10000</v>
      </c>
      <c r="G168" s="5">
        <f>SUBTOTAL(9, G166:G167)</f>
        <v>0</v>
      </c>
      <c r="H168" s="5">
        <f>SUBTOTAL(9, H166:H167)</f>
        <v>10000</v>
      </c>
      <c r="I168" s="5">
        <f>IF(F168&lt;&gt;0, ((F168-G168)/F168)*100, 0)</f>
        <v>100</v>
      </c>
    </row>
    <row r="169" spans="1:9" customFormat="1" ht="14.5" x14ac:dyDescent="0.35">
      <c r="D169" s="10"/>
      <c r="F169" s="10"/>
      <c r="G169" s="10"/>
      <c r="H169" s="10"/>
      <c r="I169" s="10"/>
    </row>
    <row r="170" spans="1:9" x14ac:dyDescent="0.25">
      <c r="A170" s="2" t="s">
        <v>94</v>
      </c>
      <c r="B170" s="2" t="s">
        <v>95</v>
      </c>
      <c r="C170" s="2" t="s">
        <v>11</v>
      </c>
      <c r="E170" s="2" t="s">
        <v>11</v>
      </c>
      <c r="F170" s="6">
        <v>9400</v>
      </c>
      <c r="H170" s="6">
        <f>F170-G170</f>
        <v>9400</v>
      </c>
      <c r="I170" s="6">
        <f>IF(F170&lt;&gt;0, ((F170-G170)/F170)*100, 0)</f>
        <v>100</v>
      </c>
    </row>
    <row r="171" spans="1:9" customFormat="1" ht="14.5" x14ac:dyDescent="0.35">
      <c r="D171" s="10"/>
      <c r="F171" s="10"/>
      <c r="G171" s="10"/>
      <c r="H171" s="10"/>
      <c r="I171" s="10"/>
    </row>
    <row r="172" spans="1:9" s="4" customFormat="1" x14ac:dyDescent="0.25">
      <c r="A172" s="3" t="s">
        <v>11</v>
      </c>
      <c r="B172" s="3" t="s">
        <v>11</v>
      </c>
      <c r="C172" s="3" t="s">
        <v>11</v>
      </c>
      <c r="D172" s="5">
        <f>SUBTOTAL(9, D170:D171)</f>
        <v>0</v>
      </c>
      <c r="E172" s="3" t="s">
        <v>11</v>
      </c>
      <c r="F172" s="5">
        <f>SUBTOTAL(9, F170:F171)</f>
        <v>9400</v>
      </c>
      <c r="G172" s="5">
        <f>SUBTOTAL(9, G170:G171)</f>
        <v>0</v>
      </c>
      <c r="H172" s="5">
        <f>SUBTOTAL(9, H170:H171)</f>
        <v>9400</v>
      </c>
      <c r="I172" s="5">
        <f>IF(F172&lt;&gt;0, ((F172-G172)/F172)*100, 0)</f>
        <v>100</v>
      </c>
    </row>
    <row r="173" spans="1:9" customFormat="1" ht="14.5" x14ac:dyDescent="0.35">
      <c r="D173" s="10"/>
      <c r="F173" s="10"/>
      <c r="G173" s="10"/>
      <c r="H173" s="10"/>
      <c r="I173" s="10"/>
    </row>
    <row r="174" spans="1:9" x14ac:dyDescent="0.25">
      <c r="A174" s="2" t="s">
        <v>96</v>
      </c>
      <c r="B174" s="2" t="s">
        <v>97</v>
      </c>
      <c r="C174" s="2" t="s">
        <v>11</v>
      </c>
      <c r="E174" s="2" t="s">
        <v>11</v>
      </c>
      <c r="F174" s="6">
        <v>800</v>
      </c>
      <c r="H174" s="6">
        <f>F174-G174</f>
        <v>800</v>
      </c>
      <c r="I174" s="6">
        <f>IF(F174&lt;&gt;0, ((F174-G174)/F174)*100, 0)</f>
        <v>100</v>
      </c>
    </row>
    <row r="175" spans="1:9" x14ac:dyDescent="0.25">
      <c r="A175" s="2" t="s">
        <v>96</v>
      </c>
      <c r="B175" s="2" t="s">
        <v>97</v>
      </c>
      <c r="C175" s="2" t="s">
        <v>11</v>
      </c>
      <c r="E175" s="2" t="s">
        <v>11</v>
      </c>
      <c r="F175" s="6">
        <v>1500</v>
      </c>
      <c r="H175" s="6">
        <f>F175-G175</f>
        <v>1500</v>
      </c>
      <c r="I175" s="6">
        <f>IF(F175&lt;&gt;0, ((F175-G175)/F175)*100, 0)</f>
        <v>100</v>
      </c>
    </row>
    <row r="176" spans="1:9" customFormat="1" ht="14.5" x14ac:dyDescent="0.35">
      <c r="D176" s="10"/>
      <c r="F176" s="10"/>
      <c r="G176" s="10"/>
      <c r="H176" s="10"/>
      <c r="I176" s="10"/>
    </row>
    <row r="177" spans="1:9" s="4" customFormat="1" x14ac:dyDescent="0.25">
      <c r="A177" s="3" t="s">
        <v>11</v>
      </c>
      <c r="B177" s="3" t="s">
        <v>11</v>
      </c>
      <c r="C177" s="3" t="s">
        <v>11</v>
      </c>
      <c r="D177" s="5">
        <f>SUBTOTAL(9, D174:D176)</f>
        <v>0</v>
      </c>
      <c r="E177" s="3" t="s">
        <v>11</v>
      </c>
      <c r="F177" s="5">
        <f>SUBTOTAL(9, F174:F176)</f>
        <v>2300</v>
      </c>
      <c r="G177" s="5">
        <f>SUBTOTAL(9, G174:G176)</f>
        <v>0</v>
      </c>
      <c r="H177" s="5">
        <f>SUBTOTAL(9, H174:H176)</f>
        <v>2300</v>
      </c>
      <c r="I177" s="5">
        <f>IF(F177&lt;&gt;0, ((F177-G177)/F177)*100, 0)</f>
        <v>100</v>
      </c>
    </row>
    <row r="178" spans="1:9" customFormat="1" ht="14.5" x14ac:dyDescent="0.35">
      <c r="D178" s="10"/>
      <c r="F178" s="10"/>
      <c r="G178" s="10"/>
      <c r="H178" s="10"/>
      <c r="I178" s="10"/>
    </row>
    <row r="179" spans="1:9" x14ac:dyDescent="0.25">
      <c r="A179" s="2" t="s">
        <v>98</v>
      </c>
      <c r="B179" s="2" t="s">
        <v>99</v>
      </c>
      <c r="C179" s="2" t="s">
        <v>11</v>
      </c>
      <c r="E179" s="2" t="s">
        <v>11</v>
      </c>
      <c r="F179" s="6">
        <v>1000</v>
      </c>
      <c r="H179" s="6">
        <f>F179-G179</f>
        <v>1000</v>
      </c>
      <c r="I179" s="6">
        <f>IF(F179&lt;&gt;0, ((F179-G179)/F179)*100, 0)</f>
        <v>100</v>
      </c>
    </row>
    <row r="180" spans="1:9" customFormat="1" ht="14.5" x14ac:dyDescent="0.35">
      <c r="D180" s="10"/>
      <c r="F180" s="10"/>
      <c r="G180" s="10"/>
      <c r="H180" s="10"/>
      <c r="I180" s="10"/>
    </row>
    <row r="181" spans="1:9" s="4" customFormat="1" x14ac:dyDescent="0.25">
      <c r="A181" s="3" t="s">
        <v>11</v>
      </c>
      <c r="B181" s="3" t="s">
        <v>11</v>
      </c>
      <c r="C181" s="3" t="s">
        <v>11</v>
      </c>
      <c r="D181" s="5">
        <f>SUBTOTAL(9, D179:D180)</f>
        <v>0</v>
      </c>
      <c r="E181" s="3" t="s">
        <v>11</v>
      </c>
      <c r="F181" s="5">
        <f>SUBTOTAL(9, F179:F180)</f>
        <v>1000</v>
      </c>
      <c r="G181" s="5">
        <f>SUBTOTAL(9, G179:G180)</f>
        <v>0</v>
      </c>
      <c r="H181" s="5">
        <f>SUBTOTAL(9, H179:H180)</f>
        <v>1000</v>
      </c>
      <c r="I181" s="5">
        <f>IF(F181&lt;&gt;0, ((F181-G181)/F181)*100, 0)</f>
        <v>100</v>
      </c>
    </row>
    <row r="182" spans="1:9" customFormat="1" ht="14.5" x14ac:dyDescent="0.35">
      <c r="D182" s="10"/>
      <c r="F182" s="10"/>
      <c r="G182" s="10"/>
      <c r="H182" s="10"/>
      <c r="I182" s="10"/>
    </row>
    <row r="183" spans="1:9" x14ac:dyDescent="0.25">
      <c r="A183" s="2" t="s">
        <v>100</v>
      </c>
      <c r="B183" s="2" t="s">
        <v>101</v>
      </c>
      <c r="C183" s="2" t="s">
        <v>11</v>
      </c>
      <c r="E183" s="2" t="s">
        <v>11</v>
      </c>
      <c r="F183" s="6">
        <v>3000</v>
      </c>
      <c r="H183" s="6">
        <f>F183-G183</f>
        <v>3000</v>
      </c>
      <c r="I183" s="6">
        <f>IF(F183&lt;&gt;0, ((F183-G183)/F183)*100, 0)</f>
        <v>100</v>
      </c>
    </row>
    <row r="184" spans="1:9" customFormat="1" ht="14.5" x14ac:dyDescent="0.35">
      <c r="D184" s="10"/>
      <c r="F184" s="10"/>
      <c r="G184" s="10"/>
      <c r="H184" s="10"/>
      <c r="I184" s="10"/>
    </row>
    <row r="185" spans="1:9" s="4" customFormat="1" x14ac:dyDescent="0.25">
      <c r="A185" s="3" t="s">
        <v>11</v>
      </c>
      <c r="B185" s="3" t="s">
        <v>11</v>
      </c>
      <c r="C185" s="3" t="s">
        <v>11</v>
      </c>
      <c r="D185" s="5">
        <f>SUBTOTAL(9, D183:D184)</f>
        <v>0</v>
      </c>
      <c r="E185" s="3" t="s">
        <v>11</v>
      </c>
      <c r="F185" s="5">
        <f>SUBTOTAL(9, F183:F184)</f>
        <v>3000</v>
      </c>
      <c r="G185" s="5">
        <f>SUBTOTAL(9, G183:G184)</f>
        <v>0</v>
      </c>
      <c r="H185" s="5">
        <f>SUBTOTAL(9, H183:H184)</f>
        <v>3000</v>
      </c>
      <c r="I185" s="5">
        <f>IF(F185&lt;&gt;0, ((F185-G185)/F185)*100, 0)</f>
        <v>100</v>
      </c>
    </row>
    <row r="186" spans="1:9" customFormat="1" ht="14.5" x14ac:dyDescent="0.35">
      <c r="D186" s="10"/>
      <c r="F186" s="10"/>
      <c r="G186" s="10"/>
      <c r="H186" s="10"/>
      <c r="I186" s="10"/>
    </row>
    <row r="187" spans="1:9" x14ac:dyDescent="0.25">
      <c r="A187" s="2" t="s">
        <v>102</v>
      </c>
      <c r="B187" s="2" t="s">
        <v>103</v>
      </c>
      <c r="C187" s="2" t="s">
        <v>11</v>
      </c>
      <c r="E187" s="2" t="s">
        <v>11</v>
      </c>
      <c r="F187" s="6">
        <v>2000</v>
      </c>
      <c r="H187" s="6">
        <f>F187-G187</f>
        <v>2000</v>
      </c>
      <c r="I187" s="6">
        <f>IF(F187&lt;&gt;0, ((F187-G187)/F187)*100, 0)</f>
        <v>100</v>
      </c>
    </row>
    <row r="188" spans="1:9" customFormat="1" ht="14.5" x14ac:dyDescent="0.35">
      <c r="D188" s="10"/>
      <c r="F188" s="10"/>
      <c r="G188" s="10"/>
      <c r="H188" s="10"/>
      <c r="I188" s="10"/>
    </row>
    <row r="189" spans="1:9" s="4" customFormat="1" x14ac:dyDescent="0.25">
      <c r="A189" s="3" t="s">
        <v>11</v>
      </c>
      <c r="B189" s="3" t="s">
        <v>11</v>
      </c>
      <c r="C189" s="3" t="s">
        <v>11</v>
      </c>
      <c r="D189" s="5">
        <f>SUBTOTAL(9, D187:D188)</f>
        <v>0</v>
      </c>
      <c r="E189" s="3" t="s">
        <v>11</v>
      </c>
      <c r="F189" s="5">
        <f>SUBTOTAL(9, F187:F188)</f>
        <v>2000</v>
      </c>
      <c r="G189" s="5">
        <f>SUBTOTAL(9, G187:G188)</f>
        <v>0</v>
      </c>
      <c r="H189" s="5">
        <f>SUBTOTAL(9, H187:H188)</f>
        <v>2000</v>
      </c>
      <c r="I189" s="5">
        <f>IF(F189&lt;&gt;0, ((F189-G189)/F189)*100, 0)</f>
        <v>100</v>
      </c>
    </row>
    <row r="190" spans="1:9" customFormat="1" ht="14.5" x14ac:dyDescent="0.35">
      <c r="D190" s="10"/>
      <c r="F190" s="10"/>
      <c r="G190" s="10"/>
      <c r="H190" s="10"/>
      <c r="I190" s="10"/>
    </row>
    <row r="191" spans="1:9" x14ac:dyDescent="0.25">
      <c r="A191" s="2" t="s">
        <v>104</v>
      </c>
      <c r="B191" s="2" t="s">
        <v>105</v>
      </c>
      <c r="C191" s="2" t="s">
        <v>11</v>
      </c>
      <c r="E191" s="2" t="s">
        <v>11</v>
      </c>
      <c r="F191" s="6">
        <v>4000</v>
      </c>
      <c r="H191" s="6">
        <f>F191-G191</f>
        <v>4000</v>
      </c>
      <c r="I191" s="6">
        <f>IF(F191&lt;&gt;0, ((F191-G191)/F191)*100, 0)</f>
        <v>100</v>
      </c>
    </row>
    <row r="192" spans="1:9" customFormat="1" ht="14.5" x14ac:dyDescent="0.35">
      <c r="D192" s="10"/>
      <c r="F192" s="10"/>
      <c r="G192" s="10"/>
      <c r="H192" s="10"/>
      <c r="I192" s="10"/>
    </row>
    <row r="193" spans="1:9" s="4" customFormat="1" x14ac:dyDescent="0.25">
      <c r="A193" s="3" t="s">
        <v>11</v>
      </c>
      <c r="B193" s="3" t="s">
        <v>11</v>
      </c>
      <c r="C193" s="3" t="s">
        <v>11</v>
      </c>
      <c r="D193" s="5">
        <f>SUBTOTAL(9, D191:D192)</f>
        <v>0</v>
      </c>
      <c r="E193" s="3" t="s">
        <v>11</v>
      </c>
      <c r="F193" s="5">
        <f>SUBTOTAL(9, F191:F192)</f>
        <v>4000</v>
      </c>
      <c r="G193" s="5">
        <f>SUBTOTAL(9, G191:G192)</f>
        <v>0</v>
      </c>
      <c r="H193" s="5">
        <f>SUBTOTAL(9, H191:H192)</f>
        <v>4000</v>
      </c>
      <c r="I193" s="5">
        <f>IF(F193&lt;&gt;0, ((F193-G193)/F193)*100, 0)</f>
        <v>100</v>
      </c>
    </row>
    <row r="194" spans="1:9" customFormat="1" ht="14.5" x14ac:dyDescent="0.35">
      <c r="D194" s="10"/>
      <c r="F194" s="10"/>
      <c r="G194" s="10"/>
      <c r="H194" s="10"/>
      <c r="I194" s="10"/>
    </row>
    <row r="195" spans="1:9" x14ac:dyDescent="0.25">
      <c r="A195" s="2" t="s">
        <v>106</v>
      </c>
      <c r="B195" s="2" t="s">
        <v>107</v>
      </c>
      <c r="C195" s="2" t="s">
        <v>11</v>
      </c>
      <c r="E195" s="2" t="s">
        <v>11</v>
      </c>
      <c r="F195" s="6">
        <v>5000</v>
      </c>
      <c r="H195" s="6">
        <f>F195-G195</f>
        <v>5000</v>
      </c>
      <c r="I195" s="6">
        <f>IF(F195&lt;&gt;0, ((F195-G195)/F195)*100, 0)</f>
        <v>100</v>
      </c>
    </row>
    <row r="196" spans="1:9" customFormat="1" ht="14.5" x14ac:dyDescent="0.35">
      <c r="D196" s="10"/>
      <c r="F196" s="10"/>
      <c r="G196" s="10"/>
      <c r="H196" s="10"/>
      <c r="I196" s="10"/>
    </row>
    <row r="197" spans="1:9" s="4" customFormat="1" x14ac:dyDescent="0.25">
      <c r="A197" s="3" t="s">
        <v>11</v>
      </c>
      <c r="B197" s="3" t="s">
        <v>11</v>
      </c>
      <c r="C197" s="3" t="s">
        <v>11</v>
      </c>
      <c r="D197" s="5">
        <f>SUBTOTAL(9, D195:D196)</f>
        <v>0</v>
      </c>
      <c r="E197" s="3" t="s">
        <v>11</v>
      </c>
      <c r="F197" s="5">
        <f>SUBTOTAL(9, F195:F196)</f>
        <v>5000</v>
      </c>
      <c r="G197" s="5">
        <f>SUBTOTAL(9, G195:G196)</f>
        <v>0</v>
      </c>
      <c r="H197" s="5">
        <f>SUBTOTAL(9, H195:H196)</f>
        <v>5000</v>
      </c>
      <c r="I197" s="5">
        <f>IF(F197&lt;&gt;0, ((F197-G197)/F197)*100, 0)</f>
        <v>100</v>
      </c>
    </row>
    <row r="198" spans="1:9" customFormat="1" ht="14.5" x14ac:dyDescent="0.35">
      <c r="D198" s="10"/>
      <c r="F198" s="10"/>
      <c r="G198" s="10"/>
      <c r="H198" s="10"/>
      <c r="I198" s="10"/>
    </row>
    <row r="199" spans="1:9" x14ac:dyDescent="0.25">
      <c r="A199" s="2" t="s">
        <v>108</v>
      </c>
      <c r="B199" s="2" t="s">
        <v>109</v>
      </c>
      <c r="C199" s="2" t="s">
        <v>11</v>
      </c>
      <c r="E199" s="2" t="s">
        <v>11</v>
      </c>
      <c r="F199" s="6">
        <v>3600</v>
      </c>
      <c r="H199" s="6">
        <f>F199-G199</f>
        <v>3600</v>
      </c>
      <c r="I199" s="6">
        <f>IF(F199&lt;&gt;0, ((F199-G199)/F199)*100, 0)</f>
        <v>100</v>
      </c>
    </row>
    <row r="200" spans="1:9" customFormat="1" ht="14.5" x14ac:dyDescent="0.35">
      <c r="D200" s="10"/>
      <c r="F200" s="10"/>
      <c r="G200" s="10"/>
      <c r="H200" s="10"/>
      <c r="I200" s="10"/>
    </row>
    <row r="201" spans="1:9" s="4" customFormat="1" x14ac:dyDescent="0.25">
      <c r="A201" s="3" t="s">
        <v>11</v>
      </c>
      <c r="B201" s="3" t="s">
        <v>11</v>
      </c>
      <c r="C201" s="3" t="s">
        <v>11</v>
      </c>
      <c r="D201" s="5">
        <f>SUBTOTAL(9, D199:D200)</f>
        <v>0</v>
      </c>
      <c r="E201" s="3" t="s">
        <v>11</v>
      </c>
      <c r="F201" s="5">
        <f>SUBTOTAL(9, F199:F200)</f>
        <v>3600</v>
      </c>
      <c r="G201" s="5">
        <f>SUBTOTAL(9, G199:G200)</f>
        <v>0</v>
      </c>
      <c r="H201" s="5">
        <f>SUBTOTAL(9, H199:H200)</f>
        <v>3600</v>
      </c>
      <c r="I201" s="5">
        <f>IF(F201&lt;&gt;0, ((F201-G201)/F201)*100, 0)</f>
        <v>100</v>
      </c>
    </row>
    <row r="202" spans="1:9" customFormat="1" ht="14.5" x14ac:dyDescent="0.35">
      <c r="D202" s="10"/>
      <c r="F202" s="10"/>
      <c r="G202" s="10"/>
      <c r="H202" s="10"/>
      <c r="I202" s="10"/>
    </row>
    <row r="203" spans="1:9" x14ac:dyDescent="0.25">
      <c r="A203" s="2" t="s">
        <v>110</v>
      </c>
      <c r="B203" s="2" t="s">
        <v>111</v>
      </c>
      <c r="C203" s="2" t="s">
        <v>11</v>
      </c>
      <c r="E203" s="2" t="s">
        <v>11</v>
      </c>
      <c r="F203" s="6">
        <v>1800</v>
      </c>
      <c r="H203" s="6">
        <f>F203-G203</f>
        <v>1800</v>
      </c>
      <c r="I203" s="6">
        <f>IF(F203&lt;&gt;0, ((F203-G203)/F203)*100, 0)</f>
        <v>100</v>
      </c>
    </row>
    <row r="204" spans="1:9" customFormat="1" ht="14.5" x14ac:dyDescent="0.35">
      <c r="D204" s="10"/>
      <c r="F204" s="10"/>
      <c r="G204" s="10"/>
      <c r="H204" s="10"/>
      <c r="I204" s="10"/>
    </row>
    <row r="205" spans="1:9" s="4" customFormat="1" x14ac:dyDescent="0.25">
      <c r="A205" s="3" t="s">
        <v>11</v>
      </c>
      <c r="B205" s="3" t="s">
        <v>11</v>
      </c>
      <c r="C205" s="3" t="s">
        <v>11</v>
      </c>
      <c r="D205" s="5">
        <f>SUBTOTAL(9, D203:D204)</f>
        <v>0</v>
      </c>
      <c r="E205" s="3" t="s">
        <v>11</v>
      </c>
      <c r="F205" s="5">
        <f>SUBTOTAL(9, F203:F204)</f>
        <v>1800</v>
      </c>
      <c r="G205" s="5">
        <f>SUBTOTAL(9, G203:G204)</f>
        <v>0</v>
      </c>
      <c r="H205" s="5">
        <f>SUBTOTAL(9, H203:H204)</f>
        <v>1800</v>
      </c>
      <c r="I205" s="5">
        <f>IF(F205&lt;&gt;0, ((F205-G205)/F205)*100, 0)</f>
        <v>100</v>
      </c>
    </row>
    <row r="206" spans="1:9" customFormat="1" ht="14.5" x14ac:dyDescent="0.35">
      <c r="D206" s="10"/>
      <c r="F206" s="10"/>
      <c r="G206" s="10"/>
      <c r="H206" s="10"/>
      <c r="I206" s="10"/>
    </row>
    <row r="207" spans="1:9" x14ac:dyDescent="0.25">
      <c r="A207" s="2" t="s">
        <v>112</v>
      </c>
      <c r="B207" s="2" t="s">
        <v>113</v>
      </c>
      <c r="C207" s="2" t="s">
        <v>11</v>
      </c>
      <c r="E207" s="2" t="s">
        <v>11</v>
      </c>
      <c r="F207" s="6">
        <v>500</v>
      </c>
      <c r="H207" s="6">
        <f>F207-G207</f>
        <v>500</v>
      </c>
      <c r="I207" s="6">
        <f>IF(F207&lt;&gt;0, ((F207-G207)/F207)*100, 0)</f>
        <v>100</v>
      </c>
    </row>
    <row r="208" spans="1:9" customFormat="1" ht="14.5" x14ac:dyDescent="0.35">
      <c r="D208" s="10"/>
      <c r="F208" s="10"/>
      <c r="G208" s="10"/>
      <c r="H208" s="10"/>
      <c r="I208" s="10"/>
    </row>
    <row r="209" spans="1:9" s="4" customFormat="1" x14ac:dyDescent="0.25">
      <c r="A209" s="3" t="s">
        <v>11</v>
      </c>
      <c r="B209" s="3" t="s">
        <v>11</v>
      </c>
      <c r="C209" s="3" t="s">
        <v>11</v>
      </c>
      <c r="D209" s="5">
        <f>SUBTOTAL(9, D207:D208)</f>
        <v>0</v>
      </c>
      <c r="E209" s="3" t="s">
        <v>11</v>
      </c>
      <c r="F209" s="5">
        <f>SUBTOTAL(9, F207:F208)</f>
        <v>500</v>
      </c>
      <c r="G209" s="5">
        <f>SUBTOTAL(9, G207:G208)</f>
        <v>0</v>
      </c>
      <c r="H209" s="5">
        <f>SUBTOTAL(9, H207:H208)</f>
        <v>500</v>
      </c>
      <c r="I209" s="5">
        <f>IF(F209&lt;&gt;0, ((F209-G209)/F209)*100, 0)</f>
        <v>100</v>
      </c>
    </row>
    <row r="210" spans="1:9" customFormat="1" ht="14.5" x14ac:dyDescent="0.35">
      <c r="D210" s="10"/>
      <c r="F210" s="10"/>
      <c r="G210" s="10"/>
      <c r="H210" s="10"/>
      <c r="I210" s="10"/>
    </row>
    <row r="211" spans="1:9" x14ac:dyDescent="0.25">
      <c r="A211" s="2" t="s">
        <v>114</v>
      </c>
      <c r="B211" s="2" t="s">
        <v>115</v>
      </c>
      <c r="C211" s="2" t="s">
        <v>11</v>
      </c>
      <c r="E211" s="2" t="s">
        <v>11</v>
      </c>
      <c r="F211" s="6">
        <v>7000</v>
      </c>
      <c r="H211" s="6">
        <f>F211-G211</f>
        <v>7000</v>
      </c>
      <c r="I211" s="6">
        <f>IF(F211&lt;&gt;0, ((F211-G211)/F211)*100, 0)</f>
        <v>100</v>
      </c>
    </row>
    <row r="212" spans="1:9" customFormat="1" ht="14.5" x14ac:dyDescent="0.35">
      <c r="D212" s="10"/>
      <c r="F212" s="10"/>
      <c r="G212" s="10"/>
      <c r="H212" s="10"/>
      <c r="I212" s="10"/>
    </row>
    <row r="213" spans="1:9" s="4" customFormat="1" x14ac:dyDescent="0.25">
      <c r="A213" s="3" t="s">
        <v>11</v>
      </c>
      <c r="B213" s="3" t="s">
        <v>11</v>
      </c>
      <c r="C213" s="3" t="s">
        <v>11</v>
      </c>
      <c r="D213" s="5">
        <f>SUBTOTAL(9, D211:D212)</f>
        <v>0</v>
      </c>
      <c r="E213" s="3" t="s">
        <v>11</v>
      </c>
      <c r="F213" s="5">
        <f>SUBTOTAL(9, F211:F212)</f>
        <v>7000</v>
      </c>
      <c r="G213" s="5">
        <f>SUBTOTAL(9, G211:G212)</f>
        <v>0</v>
      </c>
      <c r="H213" s="5">
        <f>SUBTOTAL(9, H211:H212)</f>
        <v>7000</v>
      </c>
      <c r="I213" s="5">
        <f>IF(F213&lt;&gt;0, ((F213-G213)/F213)*100, 0)</f>
        <v>100</v>
      </c>
    </row>
    <row r="214" spans="1:9" customFormat="1" ht="14.5" x14ac:dyDescent="0.35">
      <c r="D214" s="10"/>
      <c r="F214" s="10"/>
      <c r="G214" s="10"/>
      <c r="H214" s="10"/>
      <c r="I214" s="10"/>
    </row>
    <row r="215" spans="1:9" x14ac:dyDescent="0.25">
      <c r="A215" s="2" t="s">
        <v>116</v>
      </c>
      <c r="B215" s="2" t="s">
        <v>117</v>
      </c>
      <c r="C215" s="2" t="s">
        <v>11</v>
      </c>
      <c r="E215" s="2" t="s">
        <v>11</v>
      </c>
      <c r="F215" s="6">
        <v>3000</v>
      </c>
      <c r="H215" s="6">
        <f>F215-G215</f>
        <v>3000</v>
      </c>
      <c r="I215" s="6">
        <f>IF(F215&lt;&gt;0, ((F215-G215)/F215)*100, 0)</f>
        <v>100</v>
      </c>
    </row>
    <row r="216" spans="1:9" customFormat="1" ht="14.5" x14ac:dyDescent="0.35">
      <c r="D216" s="10"/>
      <c r="F216" s="10"/>
      <c r="G216" s="10"/>
      <c r="H216" s="10"/>
      <c r="I216" s="10"/>
    </row>
    <row r="217" spans="1:9" s="4" customFormat="1" x14ac:dyDescent="0.25">
      <c r="A217" s="3" t="s">
        <v>11</v>
      </c>
      <c r="B217" s="3" t="s">
        <v>11</v>
      </c>
      <c r="C217" s="3" t="s">
        <v>11</v>
      </c>
      <c r="D217" s="5">
        <f>SUBTOTAL(9, D215:D216)</f>
        <v>0</v>
      </c>
      <c r="E217" s="3" t="s">
        <v>11</v>
      </c>
      <c r="F217" s="5">
        <f>SUBTOTAL(9, F215:F216)</f>
        <v>3000</v>
      </c>
      <c r="G217" s="5">
        <f>SUBTOTAL(9, G215:G216)</f>
        <v>0</v>
      </c>
      <c r="H217" s="5">
        <f>SUBTOTAL(9, H215:H216)</f>
        <v>3000</v>
      </c>
      <c r="I217" s="5">
        <f>IF(F217&lt;&gt;0, ((F217-G217)/F217)*100, 0)</f>
        <v>100</v>
      </c>
    </row>
    <row r="218" spans="1:9" customFormat="1" ht="14.5" x14ac:dyDescent="0.35">
      <c r="D218" s="10"/>
      <c r="F218" s="10"/>
      <c r="G218" s="10"/>
      <c r="H218" s="10"/>
      <c r="I218" s="10"/>
    </row>
    <row r="219" spans="1:9" x14ac:dyDescent="0.25">
      <c r="A219" s="2" t="s">
        <v>118</v>
      </c>
      <c r="B219" s="2" t="s">
        <v>119</v>
      </c>
      <c r="C219" s="2" t="s">
        <v>11</v>
      </c>
      <c r="E219" s="2" t="s">
        <v>11</v>
      </c>
      <c r="F219" s="6">
        <v>1500</v>
      </c>
      <c r="H219" s="6">
        <f>F219-G219</f>
        <v>1500</v>
      </c>
      <c r="I219" s="6">
        <f>IF(F219&lt;&gt;0, ((F219-G219)/F219)*100, 0)</f>
        <v>100</v>
      </c>
    </row>
    <row r="220" spans="1:9" customFormat="1" ht="14.5" x14ac:dyDescent="0.35">
      <c r="D220" s="10"/>
      <c r="F220" s="10"/>
      <c r="G220" s="10"/>
      <c r="H220" s="10"/>
      <c r="I220" s="10"/>
    </row>
    <row r="221" spans="1:9" s="4" customFormat="1" x14ac:dyDescent="0.25">
      <c r="A221" s="3" t="s">
        <v>11</v>
      </c>
      <c r="B221" s="3" t="s">
        <v>11</v>
      </c>
      <c r="C221" s="3" t="s">
        <v>11</v>
      </c>
      <c r="D221" s="5">
        <f>SUBTOTAL(9, D219:D220)</f>
        <v>0</v>
      </c>
      <c r="E221" s="3" t="s">
        <v>11</v>
      </c>
      <c r="F221" s="5">
        <f>SUBTOTAL(9, F219:F220)</f>
        <v>1500</v>
      </c>
      <c r="G221" s="5">
        <f>SUBTOTAL(9, G219:G220)</f>
        <v>0</v>
      </c>
      <c r="H221" s="5">
        <f>SUBTOTAL(9, H219:H220)</f>
        <v>1500</v>
      </c>
      <c r="I221" s="5">
        <f>IF(F221&lt;&gt;0, ((F221-G221)/F221)*100, 0)</f>
        <v>100</v>
      </c>
    </row>
    <row r="222" spans="1:9" customFormat="1" ht="14.5" x14ac:dyDescent="0.35">
      <c r="D222" s="10"/>
      <c r="F222" s="10"/>
      <c r="G222" s="10"/>
      <c r="H222" s="10"/>
      <c r="I222" s="10"/>
    </row>
    <row r="223" spans="1:9" x14ac:dyDescent="0.25">
      <c r="A223" s="2" t="s">
        <v>120</v>
      </c>
      <c r="B223" s="2" t="s">
        <v>121</v>
      </c>
      <c r="C223" s="2" t="s">
        <v>11</v>
      </c>
      <c r="E223" s="2" t="s">
        <v>11</v>
      </c>
      <c r="F223" s="6">
        <v>2800</v>
      </c>
      <c r="H223" s="6">
        <f>F223-G223</f>
        <v>2800</v>
      </c>
      <c r="I223" s="6">
        <f>IF(F223&lt;&gt;0, ((F223-G223)/F223)*100, 0)</f>
        <v>100</v>
      </c>
    </row>
    <row r="224" spans="1:9" customFormat="1" ht="14.5" x14ac:dyDescent="0.35">
      <c r="D224" s="10"/>
      <c r="F224" s="10"/>
      <c r="G224" s="10"/>
      <c r="H224" s="10"/>
      <c r="I224" s="10"/>
    </row>
    <row r="225" spans="1:9" s="4" customFormat="1" x14ac:dyDescent="0.25">
      <c r="A225" s="3" t="s">
        <v>11</v>
      </c>
      <c r="B225" s="3" t="s">
        <v>11</v>
      </c>
      <c r="C225" s="3" t="s">
        <v>11</v>
      </c>
      <c r="D225" s="5">
        <f>SUBTOTAL(9, D223:D224)</f>
        <v>0</v>
      </c>
      <c r="E225" s="3" t="s">
        <v>11</v>
      </c>
      <c r="F225" s="5">
        <f>SUBTOTAL(9, F223:F224)</f>
        <v>2800</v>
      </c>
      <c r="G225" s="5">
        <f>SUBTOTAL(9, G223:G224)</f>
        <v>0</v>
      </c>
      <c r="H225" s="5">
        <f>SUBTOTAL(9, H223:H224)</f>
        <v>2800</v>
      </c>
      <c r="I225" s="5">
        <f>IF(F225&lt;&gt;0, ((F225-G225)/F225)*100, 0)</f>
        <v>100</v>
      </c>
    </row>
    <row r="226" spans="1:9" customFormat="1" ht="14.5" x14ac:dyDescent="0.35">
      <c r="D226" s="10"/>
      <c r="F226" s="10"/>
      <c r="G226" s="10"/>
      <c r="H226" s="10"/>
      <c r="I226" s="10"/>
    </row>
    <row r="227" spans="1:9" x14ac:dyDescent="0.25">
      <c r="A227" s="2" t="s">
        <v>122</v>
      </c>
      <c r="B227" s="2" t="s">
        <v>123</v>
      </c>
      <c r="C227" s="2" t="s">
        <v>11</v>
      </c>
      <c r="E227" s="2" t="s">
        <v>11</v>
      </c>
      <c r="F227" s="6">
        <v>2500</v>
      </c>
      <c r="H227" s="6">
        <f>F227-G227</f>
        <v>2500</v>
      </c>
      <c r="I227" s="6">
        <f>IF(F227&lt;&gt;0, ((F227-G227)/F227)*100, 0)</f>
        <v>100</v>
      </c>
    </row>
    <row r="228" spans="1:9" customFormat="1" ht="14.5" x14ac:dyDescent="0.35">
      <c r="D228" s="10"/>
      <c r="F228" s="10"/>
      <c r="G228" s="10"/>
      <c r="H228" s="10"/>
      <c r="I228" s="10"/>
    </row>
    <row r="229" spans="1:9" s="4" customFormat="1" x14ac:dyDescent="0.25">
      <c r="A229" s="3" t="s">
        <v>11</v>
      </c>
      <c r="B229" s="3" t="s">
        <v>11</v>
      </c>
      <c r="C229" s="3" t="s">
        <v>11</v>
      </c>
      <c r="D229" s="5">
        <f>SUBTOTAL(9, D227:D228)</f>
        <v>0</v>
      </c>
      <c r="E229" s="3" t="s">
        <v>11</v>
      </c>
      <c r="F229" s="5">
        <f>SUBTOTAL(9, F227:F228)</f>
        <v>2500</v>
      </c>
      <c r="G229" s="5">
        <f>SUBTOTAL(9, G227:G228)</f>
        <v>0</v>
      </c>
      <c r="H229" s="5">
        <f>SUBTOTAL(9, H227:H228)</f>
        <v>2500</v>
      </c>
      <c r="I229" s="5">
        <f>IF(F229&lt;&gt;0, ((F229-G229)/F229)*100, 0)</f>
        <v>100</v>
      </c>
    </row>
    <row r="230" spans="1:9" customFormat="1" ht="14.5" x14ac:dyDescent="0.35">
      <c r="D230" s="10"/>
      <c r="F230" s="10"/>
      <c r="G230" s="10"/>
      <c r="H230" s="10"/>
      <c r="I230" s="10"/>
    </row>
    <row r="231" spans="1:9" x14ac:dyDescent="0.25">
      <c r="A231" s="2" t="s">
        <v>124</v>
      </c>
      <c r="B231" s="2" t="s">
        <v>125</v>
      </c>
      <c r="C231" s="2" t="s">
        <v>11</v>
      </c>
      <c r="E231" s="2" t="s">
        <v>11</v>
      </c>
      <c r="F231" s="6">
        <v>10000</v>
      </c>
      <c r="H231" s="6">
        <f>F231-G231</f>
        <v>10000</v>
      </c>
      <c r="I231" s="6">
        <f>IF(F231&lt;&gt;0, ((F231-G231)/F231)*100, 0)</f>
        <v>100</v>
      </c>
    </row>
    <row r="232" spans="1:9" customFormat="1" ht="14.5" x14ac:dyDescent="0.35">
      <c r="D232" s="10"/>
      <c r="F232" s="10"/>
      <c r="G232" s="10"/>
      <c r="H232" s="10"/>
      <c r="I232" s="10"/>
    </row>
    <row r="233" spans="1:9" s="4" customFormat="1" x14ac:dyDescent="0.25">
      <c r="A233" s="3" t="s">
        <v>11</v>
      </c>
      <c r="B233" s="3" t="s">
        <v>11</v>
      </c>
      <c r="C233" s="3" t="s">
        <v>11</v>
      </c>
      <c r="D233" s="5">
        <f>SUBTOTAL(9, D231:D232)</f>
        <v>0</v>
      </c>
      <c r="E233" s="3" t="s">
        <v>11</v>
      </c>
      <c r="F233" s="5">
        <f>SUBTOTAL(9, F231:F232)</f>
        <v>10000</v>
      </c>
      <c r="G233" s="5">
        <f>SUBTOTAL(9, G231:G232)</f>
        <v>0</v>
      </c>
      <c r="H233" s="5">
        <f>SUBTOTAL(9, H231:H232)</f>
        <v>10000</v>
      </c>
      <c r="I233" s="5">
        <f>IF(F233&lt;&gt;0, ((F233-G233)/F233)*100, 0)</f>
        <v>100</v>
      </c>
    </row>
    <row r="234" spans="1:9" customFormat="1" ht="14.5" x14ac:dyDescent="0.35">
      <c r="D234" s="10"/>
      <c r="F234" s="10"/>
      <c r="G234" s="10"/>
      <c r="H234" s="10"/>
      <c r="I234" s="10"/>
    </row>
    <row r="235" spans="1:9" x14ac:dyDescent="0.25">
      <c r="A235" s="2" t="s">
        <v>126</v>
      </c>
      <c r="B235" s="2" t="s">
        <v>127</v>
      </c>
      <c r="C235" s="2" t="s">
        <v>11</v>
      </c>
      <c r="E235" s="2" t="s">
        <v>11</v>
      </c>
      <c r="F235" s="6">
        <v>500</v>
      </c>
      <c r="H235" s="6">
        <f>F235-G235</f>
        <v>500</v>
      </c>
      <c r="I235" s="6">
        <f>IF(F235&lt;&gt;0, ((F235-G235)/F235)*100, 0)</f>
        <v>100</v>
      </c>
    </row>
    <row r="236" spans="1:9" customFormat="1" ht="14.5" x14ac:dyDescent="0.35">
      <c r="D236" s="10"/>
      <c r="F236" s="10"/>
      <c r="G236" s="10"/>
      <c r="H236" s="10"/>
      <c r="I236" s="10"/>
    </row>
    <row r="237" spans="1:9" s="4" customFormat="1" x14ac:dyDescent="0.25">
      <c r="A237" s="3" t="s">
        <v>11</v>
      </c>
      <c r="B237" s="3" t="s">
        <v>11</v>
      </c>
      <c r="C237" s="3" t="s">
        <v>11</v>
      </c>
      <c r="D237" s="5">
        <f>SUBTOTAL(9, D235:D236)</f>
        <v>0</v>
      </c>
      <c r="E237" s="3" t="s">
        <v>11</v>
      </c>
      <c r="F237" s="5">
        <f>SUBTOTAL(9, F235:F236)</f>
        <v>500</v>
      </c>
      <c r="G237" s="5">
        <f>SUBTOTAL(9, G235:G236)</f>
        <v>0</v>
      </c>
      <c r="H237" s="5">
        <f>SUBTOTAL(9, H235:H236)</f>
        <v>500</v>
      </c>
      <c r="I237" s="5">
        <f>IF(F237&lt;&gt;0, ((F237-G237)/F237)*100, 0)</f>
        <v>100</v>
      </c>
    </row>
    <row r="238" spans="1:9" customFormat="1" ht="14.5" x14ac:dyDescent="0.35">
      <c r="D238" s="10"/>
      <c r="F238" s="10"/>
      <c r="G238" s="10"/>
      <c r="H238" s="10"/>
      <c r="I238" s="10"/>
    </row>
    <row r="239" spans="1:9" x14ac:dyDescent="0.25">
      <c r="A239" s="2" t="s">
        <v>128</v>
      </c>
      <c r="B239" s="2" t="s">
        <v>129</v>
      </c>
      <c r="C239" s="2" t="s">
        <v>11</v>
      </c>
      <c r="E239" s="2" t="s">
        <v>11</v>
      </c>
      <c r="F239" s="6">
        <v>2250</v>
      </c>
      <c r="H239" s="6">
        <f>F239-G239</f>
        <v>2250</v>
      </c>
      <c r="I239" s="6">
        <f>IF(F239&lt;&gt;0, ((F239-G239)/F239)*100, 0)</f>
        <v>100</v>
      </c>
    </row>
    <row r="240" spans="1:9" customFormat="1" ht="14.5" x14ac:dyDescent="0.35">
      <c r="D240" s="10"/>
      <c r="F240" s="10"/>
      <c r="G240" s="10"/>
      <c r="H240" s="10"/>
      <c r="I240" s="10"/>
    </row>
    <row r="241" spans="1:9" s="4" customFormat="1" x14ac:dyDescent="0.25">
      <c r="A241" s="3" t="s">
        <v>11</v>
      </c>
      <c r="B241" s="3" t="s">
        <v>11</v>
      </c>
      <c r="C241" s="3" t="s">
        <v>11</v>
      </c>
      <c r="D241" s="5">
        <f>SUBTOTAL(9, D239:D240)</f>
        <v>0</v>
      </c>
      <c r="E241" s="3" t="s">
        <v>11</v>
      </c>
      <c r="F241" s="5">
        <f>SUBTOTAL(9, F239:F240)</f>
        <v>2250</v>
      </c>
      <c r="G241" s="5">
        <f>SUBTOTAL(9, G239:G240)</f>
        <v>0</v>
      </c>
      <c r="H241" s="5">
        <f>SUBTOTAL(9, H239:H240)</f>
        <v>2250</v>
      </c>
      <c r="I241" s="5">
        <f>IF(F241&lt;&gt;0, ((F241-G241)/F241)*100, 0)</f>
        <v>100</v>
      </c>
    </row>
    <row r="242" spans="1:9" customFormat="1" ht="14.5" x14ac:dyDescent="0.35">
      <c r="D242" s="10"/>
      <c r="F242" s="10"/>
      <c r="G242" s="10"/>
      <c r="H242" s="10"/>
      <c r="I242" s="10"/>
    </row>
    <row r="243" spans="1:9" x14ac:dyDescent="0.25">
      <c r="A243" s="2" t="s">
        <v>130</v>
      </c>
      <c r="B243" s="2" t="s">
        <v>131</v>
      </c>
      <c r="C243" s="2" t="s">
        <v>11</v>
      </c>
      <c r="E243" s="2" t="s">
        <v>11</v>
      </c>
      <c r="F243" s="6">
        <v>1000</v>
      </c>
      <c r="H243" s="6">
        <f>F243-G243</f>
        <v>1000</v>
      </c>
      <c r="I243" s="6">
        <f>IF(F243&lt;&gt;0, ((F243-G243)/F243)*100, 0)</f>
        <v>100</v>
      </c>
    </row>
    <row r="244" spans="1:9" customFormat="1" ht="14.5" x14ac:dyDescent="0.35">
      <c r="D244" s="10"/>
      <c r="F244" s="10"/>
      <c r="G244" s="10"/>
      <c r="H244" s="10"/>
      <c r="I244" s="10"/>
    </row>
    <row r="245" spans="1:9" s="4" customFormat="1" x14ac:dyDescent="0.25">
      <c r="A245" s="3" t="s">
        <v>11</v>
      </c>
      <c r="B245" s="3" t="s">
        <v>11</v>
      </c>
      <c r="C245" s="3" t="s">
        <v>11</v>
      </c>
      <c r="D245" s="5">
        <f>SUBTOTAL(9, D243:D244)</f>
        <v>0</v>
      </c>
      <c r="E245" s="3" t="s">
        <v>11</v>
      </c>
      <c r="F245" s="5">
        <f>SUBTOTAL(9, F243:F244)</f>
        <v>1000</v>
      </c>
      <c r="G245" s="5">
        <f>SUBTOTAL(9, G243:G244)</f>
        <v>0</v>
      </c>
      <c r="H245" s="5">
        <f>SUBTOTAL(9, H243:H244)</f>
        <v>1000</v>
      </c>
      <c r="I245" s="5">
        <f>IF(F245&lt;&gt;0, ((F245-G245)/F245)*100, 0)</f>
        <v>100</v>
      </c>
    </row>
    <row r="246" spans="1:9" customFormat="1" ht="14.5" x14ac:dyDescent="0.35">
      <c r="D246" s="10"/>
      <c r="F246" s="10"/>
      <c r="G246" s="10"/>
      <c r="H246" s="10"/>
      <c r="I246" s="10"/>
    </row>
    <row r="247" spans="1:9" x14ac:dyDescent="0.25">
      <c r="A247" s="2" t="s">
        <v>132</v>
      </c>
      <c r="B247" s="2" t="s">
        <v>133</v>
      </c>
      <c r="C247" s="2" t="s">
        <v>11</v>
      </c>
      <c r="E247" s="2" t="s">
        <v>11</v>
      </c>
      <c r="F247" s="6">
        <v>1500</v>
      </c>
      <c r="H247" s="6">
        <f>F247-G247</f>
        <v>1500</v>
      </c>
      <c r="I247" s="6">
        <f>IF(F247&lt;&gt;0, ((F247-G247)/F247)*100, 0)</f>
        <v>100</v>
      </c>
    </row>
    <row r="248" spans="1:9" customFormat="1" ht="14.5" x14ac:dyDescent="0.35">
      <c r="D248" s="10"/>
      <c r="F248" s="10"/>
      <c r="G248" s="10"/>
      <c r="H248" s="10"/>
      <c r="I248" s="10"/>
    </row>
    <row r="249" spans="1:9" s="4" customFormat="1" x14ac:dyDescent="0.25">
      <c r="A249" s="3" t="s">
        <v>11</v>
      </c>
      <c r="B249" s="3" t="s">
        <v>11</v>
      </c>
      <c r="C249" s="3" t="s">
        <v>11</v>
      </c>
      <c r="D249" s="5">
        <f>SUBTOTAL(9, D247:D248)</f>
        <v>0</v>
      </c>
      <c r="E249" s="3" t="s">
        <v>11</v>
      </c>
      <c r="F249" s="5">
        <f>SUBTOTAL(9, F247:F248)</f>
        <v>1500</v>
      </c>
      <c r="G249" s="5">
        <f>SUBTOTAL(9, G247:G248)</f>
        <v>0</v>
      </c>
      <c r="H249" s="5">
        <f>SUBTOTAL(9, H247:H248)</f>
        <v>1500</v>
      </c>
      <c r="I249" s="5">
        <f>IF(F249&lt;&gt;0, ((F249-G249)/F249)*100, 0)</f>
        <v>100</v>
      </c>
    </row>
    <row r="250" spans="1:9" customFormat="1" ht="14.5" x14ac:dyDescent="0.35">
      <c r="D250" s="10"/>
      <c r="F250" s="10"/>
      <c r="G250" s="10"/>
      <c r="H250" s="10"/>
      <c r="I250" s="10"/>
    </row>
    <row r="251" spans="1:9" x14ac:dyDescent="0.25">
      <c r="A251" s="2" t="s">
        <v>134</v>
      </c>
      <c r="B251" s="2" t="s">
        <v>135</v>
      </c>
      <c r="C251" s="2" t="s">
        <v>11</v>
      </c>
      <c r="E251" s="2" t="s">
        <v>11</v>
      </c>
      <c r="F251" s="6">
        <v>2000</v>
      </c>
      <c r="H251" s="6">
        <f>F251-G251</f>
        <v>2000</v>
      </c>
      <c r="I251" s="6">
        <f>IF(F251&lt;&gt;0, ((F251-G251)/F251)*100, 0)</f>
        <v>100</v>
      </c>
    </row>
    <row r="252" spans="1:9" customFormat="1" ht="14.5" x14ac:dyDescent="0.35">
      <c r="D252" s="10"/>
      <c r="F252" s="10"/>
      <c r="G252" s="10"/>
      <c r="H252" s="10"/>
      <c r="I252" s="10"/>
    </row>
    <row r="253" spans="1:9" s="4" customFormat="1" x14ac:dyDescent="0.25">
      <c r="A253" s="3" t="s">
        <v>11</v>
      </c>
      <c r="B253" s="3" t="s">
        <v>11</v>
      </c>
      <c r="C253" s="3" t="s">
        <v>11</v>
      </c>
      <c r="D253" s="5">
        <f>SUBTOTAL(9, D251:D252)</f>
        <v>0</v>
      </c>
      <c r="E253" s="3" t="s">
        <v>11</v>
      </c>
      <c r="F253" s="5">
        <f>SUBTOTAL(9, F251:F252)</f>
        <v>2000</v>
      </c>
      <c r="G253" s="5">
        <f>SUBTOTAL(9, G251:G252)</f>
        <v>0</v>
      </c>
      <c r="H253" s="5">
        <f>SUBTOTAL(9, H251:H252)</f>
        <v>2000</v>
      </c>
      <c r="I253" s="5">
        <f>IF(F253&lt;&gt;0, ((F253-G253)/F253)*100, 0)</f>
        <v>100</v>
      </c>
    </row>
    <row r="254" spans="1:9" customFormat="1" ht="14.5" x14ac:dyDescent="0.35">
      <c r="D254" s="10"/>
      <c r="F254" s="10"/>
      <c r="G254" s="10"/>
      <c r="H254" s="10"/>
      <c r="I254" s="10"/>
    </row>
    <row r="255" spans="1:9" x14ac:dyDescent="0.25">
      <c r="A255" s="2" t="s">
        <v>136</v>
      </c>
      <c r="B255" s="2" t="s">
        <v>137</v>
      </c>
      <c r="C255" s="2" t="s">
        <v>11</v>
      </c>
      <c r="E255" s="2" t="s">
        <v>11</v>
      </c>
      <c r="F255" s="6">
        <v>6000</v>
      </c>
      <c r="H255" s="6">
        <f>F255-G255</f>
        <v>6000</v>
      </c>
      <c r="I255" s="6">
        <f>IF(F255&lt;&gt;0, ((F255-G255)/F255)*100, 0)</f>
        <v>100</v>
      </c>
    </row>
    <row r="256" spans="1:9" customFormat="1" ht="14.5" x14ac:dyDescent="0.35">
      <c r="D256" s="10"/>
      <c r="F256" s="10"/>
      <c r="G256" s="10"/>
      <c r="H256" s="10"/>
      <c r="I256" s="10"/>
    </row>
    <row r="257" spans="1:9" s="4" customFormat="1" x14ac:dyDescent="0.25">
      <c r="A257" s="3" t="s">
        <v>11</v>
      </c>
      <c r="B257" s="3" t="s">
        <v>11</v>
      </c>
      <c r="C257" s="3" t="s">
        <v>11</v>
      </c>
      <c r="D257" s="5">
        <f>SUBTOTAL(9, D255:D256)</f>
        <v>0</v>
      </c>
      <c r="E257" s="3" t="s">
        <v>11</v>
      </c>
      <c r="F257" s="5">
        <f>SUBTOTAL(9, F255:F256)</f>
        <v>6000</v>
      </c>
      <c r="G257" s="5">
        <f>SUBTOTAL(9, G255:G256)</f>
        <v>0</v>
      </c>
      <c r="H257" s="5">
        <f>SUBTOTAL(9, H255:H256)</f>
        <v>6000</v>
      </c>
      <c r="I257" s="5">
        <f>IF(F257&lt;&gt;0, ((F257-G257)/F257)*100, 0)</f>
        <v>100</v>
      </c>
    </row>
    <row r="258" spans="1:9" customFormat="1" ht="14.5" x14ac:dyDescent="0.35">
      <c r="D258" s="10"/>
      <c r="F258" s="10"/>
      <c r="G258" s="10"/>
      <c r="H258" s="10"/>
      <c r="I258" s="10"/>
    </row>
    <row r="259" spans="1:9" x14ac:dyDescent="0.25">
      <c r="A259" s="2" t="s">
        <v>138</v>
      </c>
      <c r="B259" s="2" t="s">
        <v>139</v>
      </c>
      <c r="C259" s="2" t="s">
        <v>11</v>
      </c>
      <c r="E259" s="2" t="s">
        <v>11</v>
      </c>
      <c r="F259" s="6">
        <v>1500</v>
      </c>
      <c r="H259" s="6">
        <f>F259-G259</f>
        <v>1500</v>
      </c>
      <c r="I259" s="6">
        <f>IF(F259&lt;&gt;0, ((F259-G259)/F259)*100, 0)</f>
        <v>100</v>
      </c>
    </row>
    <row r="260" spans="1:9" customFormat="1" ht="14.5" x14ac:dyDescent="0.35">
      <c r="D260" s="10"/>
      <c r="F260" s="10"/>
      <c r="G260" s="10"/>
      <c r="H260" s="10"/>
      <c r="I260" s="10"/>
    </row>
    <row r="261" spans="1:9" s="4" customFormat="1" x14ac:dyDescent="0.25">
      <c r="A261" s="3" t="s">
        <v>11</v>
      </c>
      <c r="B261" s="3" t="s">
        <v>11</v>
      </c>
      <c r="C261" s="3" t="s">
        <v>11</v>
      </c>
      <c r="D261" s="5">
        <f>SUBTOTAL(9, D259:D260)</f>
        <v>0</v>
      </c>
      <c r="E261" s="3" t="s">
        <v>11</v>
      </c>
      <c r="F261" s="5">
        <f>SUBTOTAL(9, F259:F260)</f>
        <v>1500</v>
      </c>
      <c r="G261" s="5">
        <f>SUBTOTAL(9, G259:G260)</f>
        <v>0</v>
      </c>
      <c r="H261" s="5">
        <f>SUBTOTAL(9, H259:H260)</f>
        <v>1500</v>
      </c>
      <c r="I261" s="5">
        <f>IF(F261&lt;&gt;0, ((F261-G261)/F261)*100, 0)</f>
        <v>100</v>
      </c>
    </row>
    <row r="262" spans="1:9" customFormat="1" ht="14.5" x14ac:dyDescent="0.35">
      <c r="D262" s="10"/>
      <c r="F262" s="10"/>
      <c r="G262" s="10"/>
      <c r="H262" s="10"/>
      <c r="I262" s="10"/>
    </row>
    <row r="263" spans="1:9" x14ac:dyDescent="0.25">
      <c r="A263" s="2" t="s">
        <v>140</v>
      </c>
      <c r="B263" s="2" t="s">
        <v>141</v>
      </c>
      <c r="C263" s="2" t="s">
        <v>11</v>
      </c>
      <c r="E263" s="2" t="s">
        <v>11</v>
      </c>
      <c r="F263" s="6">
        <v>3800</v>
      </c>
      <c r="H263" s="6">
        <f>F263-G263</f>
        <v>3800</v>
      </c>
      <c r="I263" s="6">
        <f>IF(F263&lt;&gt;0, ((F263-G263)/F263)*100, 0)</f>
        <v>100</v>
      </c>
    </row>
    <row r="264" spans="1:9" customFormat="1" ht="14.5" x14ac:dyDescent="0.35">
      <c r="D264" s="10"/>
      <c r="F264" s="10"/>
      <c r="G264" s="10"/>
      <c r="H264" s="10"/>
      <c r="I264" s="10"/>
    </row>
    <row r="265" spans="1:9" s="4" customFormat="1" x14ac:dyDescent="0.25">
      <c r="A265" s="3" t="s">
        <v>11</v>
      </c>
      <c r="B265" s="3" t="s">
        <v>11</v>
      </c>
      <c r="C265" s="3" t="s">
        <v>11</v>
      </c>
      <c r="D265" s="5">
        <f>SUBTOTAL(9, D263:D264)</f>
        <v>0</v>
      </c>
      <c r="E265" s="3" t="s">
        <v>11</v>
      </c>
      <c r="F265" s="5">
        <f>SUBTOTAL(9, F263:F264)</f>
        <v>3800</v>
      </c>
      <c r="G265" s="5">
        <f>SUBTOTAL(9, G263:G264)</f>
        <v>0</v>
      </c>
      <c r="H265" s="5">
        <f>SUBTOTAL(9, H263:H264)</f>
        <v>3800</v>
      </c>
      <c r="I265" s="5">
        <f>IF(F265&lt;&gt;0, ((F265-G265)/F265)*100, 0)</f>
        <v>100</v>
      </c>
    </row>
    <row r="266" spans="1:9" customFormat="1" ht="14.5" x14ac:dyDescent="0.35">
      <c r="D266" s="10"/>
      <c r="F266" s="10"/>
      <c r="G266" s="10"/>
      <c r="H266" s="10"/>
      <c r="I266" s="10"/>
    </row>
    <row r="267" spans="1:9" x14ac:dyDescent="0.25">
      <c r="A267" s="2" t="s">
        <v>142</v>
      </c>
      <c r="B267" s="2" t="s">
        <v>143</v>
      </c>
      <c r="C267" s="2" t="s">
        <v>11</v>
      </c>
      <c r="E267" s="2" t="s">
        <v>11</v>
      </c>
      <c r="F267" s="6">
        <v>30000</v>
      </c>
      <c r="H267" s="6">
        <f>F267-G267</f>
        <v>30000</v>
      </c>
      <c r="I267" s="6">
        <f>IF(F267&lt;&gt;0, ((F267-G267)/F267)*100, 0)</f>
        <v>100</v>
      </c>
    </row>
    <row r="268" spans="1:9" customFormat="1" ht="14.5" x14ac:dyDescent="0.35">
      <c r="D268" s="10"/>
      <c r="F268" s="10"/>
      <c r="G268" s="10"/>
      <c r="H268" s="10"/>
      <c r="I268" s="10"/>
    </row>
    <row r="269" spans="1:9" s="4" customFormat="1" x14ac:dyDescent="0.25">
      <c r="A269" s="3" t="s">
        <v>11</v>
      </c>
      <c r="B269" s="3" t="s">
        <v>11</v>
      </c>
      <c r="C269" s="3" t="s">
        <v>11</v>
      </c>
      <c r="D269" s="5">
        <f>SUBTOTAL(9, D267:D268)</f>
        <v>0</v>
      </c>
      <c r="E269" s="3" t="s">
        <v>11</v>
      </c>
      <c r="F269" s="5">
        <f>SUBTOTAL(9, F267:F268)</f>
        <v>30000</v>
      </c>
      <c r="G269" s="5">
        <f>SUBTOTAL(9, G267:G268)</f>
        <v>0</v>
      </c>
      <c r="H269" s="5">
        <f>SUBTOTAL(9, H267:H268)</f>
        <v>30000</v>
      </c>
      <c r="I269" s="5">
        <f>IF(F269&lt;&gt;0, ((F269-G269)/F269)*100, 0)</f>
        <v>100</v>
      </c>
    </row>
    <row r="270" spans="1:9" customFormat="1" ht="14.5" x14ac:dyDescent="0.35">
      <c r="D270" s="10"/>
      <c r="F270" s="10"/>
      <c r="G270" s="10"/>
      <c r="H270" s="10"/>
      <c r="I270" s="10"/>
    </row>
    <row r="271" spans="1:9" x14ac:dyDescent="0.25">
      <c r="A271" s="2" t="s">
        <v>144</v>
      </c>
      <c r="B271" s="2" t="s">
        <v>145</v>
      </c>
      <c r="C271" s="2" t="s">
        <v>11</v>
      </c>
      <c r="E271" s="2" t="s">
        <v>11</v>
      </c>
      <c r="F271" s="6">
        <v>7000</v>
      </c>
      <c r="H271" s="6">
        <f>F271-G271</f>
        <v>7000</v>
      </c>
      <c r="I271" s="6">
        <f>IF(F271&lt;&gt;0, ((F271-G271)/F271)*100, 0)</f>
        <v>100</v>
      </c>
    </row>
    <row r="272" spans="1:9" customFormat="1" ht="14.5" x14ac:dyDescent="0.35">
      <c r="D272" s="10"/>
      <c r="F272" s="10"/>
      <c r="G272" s="10"/>
      <c r="H272" s="10"/>
      <c r="I272" s="10"/>
    </row>
    <row r="273" spans="1:9" s="4" customFormat="1" x14ac:dyDescent="0.25">
      <c r="A273" s="3" t="s">
        <v>11</v>
      </c>
      <c r="B273" s="3" t="s">
        <v>11</v>
      </c>
      <c r="C273" s="3" t="s">
        <v>11</v>
      </c>
      <c r="D273" s="5">
        <f>SUBTOTAL(9, D271:D272)</f>
        <v>0</v>
      </c>
      <c r="E273" s="3" t="s">
        <v>11</v>
      </c>
      <c r="F273" s="5">
        <f>SUBTOTAL(9, F271:F272)</f>
        <v>7000</v>
      </c>
      <c r="G273" s="5">
        <f>SUBTOTAL(9, G271:G272)</f>
        <v>0</v>
      </c>
      <c r="H273" s="5">
        <f>SUBTOTAL(9, H271:H272)</f>
        <v>7000</v>
      </c>
      <c r="I273" s="5">
        <f>IF(F273&lt;&gt;0, ((F273-G273)/F273)*100, 0)</f>
        <v>100</v>
      </c>
    </row>
    <row r="274" spans="1:9" customFormat="1" ht="14.5" x14ac:dyDescent="0.35">
      <c r="D274" s="10"/>
      <c r="F274" s="10"/>
      <c r="G274" s="10"/>
      <c r="H274" s="10"/>
      <c r="I274" s="10"/>
    </row>
    <row r="275" spans="1:9" x14ac:dyDescent="0.25">
      <c r="A275" s="2" t="s">
        <v>146</v>
      </c>
      <c r="B275" s="2" t="s">
        <v>147</v>
      </c>
      <c r="C275" s="2" t="s">
        <v>11</v>
      </c>
      <c r="E275" s="2" t="s">
        <v>11</v>
      </c>
      <c r="F275" s="6">
        <v>4000</v>
      </c>
      <c r="H275" s="6">
        <f>F275-G275</f>
        <v>4000</v>
      </c>
      <c r="I275" s="6">
        <f>IF(F275&lt;&gt;0, ((F275-G275)/F275)*100, 0)</f>
        <v>100</v>
      </c>
    </row>
    <row r="276" spans="1:9" customFormat="1" ht="14.5" x14ac:dyDescent="0.35">
      <c r="D276" s="10"/>
      <c r="F276" s="10"/>
      <c r="G276" s="10"/>
      <c r="H276" s="10"/>
      <c r="I276" s="10"/>
    </row>
    <row r="277" spans="1:9" s="4" customFormat="1" x14ac:dyDescent="0.25">
      <c r="A277" s="3" t="s">
        <v>11</v>
      </c>
      <c r="B277" s="3" t="s">
        <v>11</v>
      </c>
      <c r="C277" s="3" t="s">
        <v>11</v>
      </c>
      <c r="D277" s="5">
        <f>SUBTOTAL(9, D275:D276)</f>
        <v>0</v>
      </c>
      <c r="E277" s="3" t="s">
        <v>11</v>
      </c>
      <c r="F277" s="5">
        <f>SUBTOTAL(9, F275:F276)</f>
        <v>4000</v>
      </c>
      <c r="G277" s="5">
        <f>SUBTOTAL(9, G275:G276)</f>
        <v>0</v>
      </c>
      <c r="H277" s="5">
        <f>SUBTOTAL(9, H275:H276)</f>
        <v>4000</v>
      </c>
      <c r="I277" s="5">
        <f>IF(F277&lt;&gt;0, ((F277-G277)/F277)*100, 0)</f>
        <v>100</v>
      </c>
    </row>
    <row r="278" spans="1:9" customFormat="1" ht="14.5" x14ac:dyDescent="0.35">
      <c r="D278" s="10"/>
      <c r="F278" s="10"/>
      <c r="G278" s="10"/>
      <c r="H278" s="10"/>
      <c r="I278" s="10"/>
    </row>
    <row r="279" spans="1:9" x14ac:dyDescent="0.25">
      <c r="A279" s="2" t="s">
        <v>148</v>
      </c>
      <c r="B279" s="2" t="s">
        <v>149</v>
      </c>
      <c r="C279" s="2" t="s">
        <v>11</v>
      </c>
      <c r="E279" s="2" t="s">
        <v>11</v>
      </c>
      <c r="F279" s="6">
        <v>400</v>
      </c>
      <c r="H279" s="6">
        <f>F279-G279</f>
        <v>400</v>
      </c>
      <c r="I279" s="6">
        <f>IF(F279&lt;&gt;0, ((F279-G279)/F279)*100, 0)</f>
        <v>100</v>
      </c>
    </row>
    <row r="280" spans="1:9" customFormat="1" ht="14.5" x14ac:dyDescent="0.35">
      <c r="D280" s="10"/>
      <c r="F280" s="10"/>
      <c r="G280" s="10"/>
      <c r="H280" s="10"/>
      <c r="I280" s="10"/>
    </row>
    <row r="281" spans="1:9" s="4" customFormat="1" x14ac:dyDescent="0.25">
      <c r="A281" s="3" t="s">
        <v>11</v>
      </c>
      <c r="B281" s="3" t="s">
        <v>11</v>
      </c>
      <c r="C281" s="3" t="s">
        <v>11</v>
      </c>
      <c r="D281" s="5">
        <f>SUBTOTAL(9, D279:D280)</f>
        <v>0</v>
      </c>
      <c r="E281" s="3" t="s">
        <v>11</v>
      </c>
      <c r="F281" s="5">
        <f>SUBTOTAL(9, F279:F280)</f>
        <v>400</v>
      </c>
      <c r="G281" s="5">
        <f>SUBTOTAL(9, G279:G280)</f>
        <v>0</v>
      </c>
      <c r="H281" s="5">
        <f>SUBTOTAL(9, H279:H280)</f>
        <v>400</v>
      </c>
      <c r="I281" s="5">
        <f>IF(F281&lt;&gt;0, ((F281-G281)/F281)*100, 0)</f>
        <v>100</v>
      </c>
    </row>
    <row r="282" spans="1:9" customFormat="1" ht="14.5" x14ac:dyDescent="0.35">
      <c r="D282" s="10"/>
      <c r="F282" s="10"/>
      <c r="G282" s="10"/>
      <c r="H282" s="10"/>
      <c r="I282" s="10"/>
    </row>
    <row r="283" spans="1:9" x14ac:dyDescent="0.25">
      <c r="A283" s="2" t="s">
        <v>150</v>
      </c>
      <c r="B283" s="2" t="s">
        <v>151</v>
      </c>
      <c r="C283" s="2" t="s">
        <v>11</v>
      </c>
      <c r="E283" s="2" t="s">
        <v>11</v>
      </c>
      <c r="F283" s="6">
        <v>3000</v>
      </c>
      <c r="H283" s="6">
        <f>F283-G283</f>
        <v>3000</v>
      </c>
      <c r="I283" s="6">
        <f>IF(F283&lt;&gt;0, ((F283-G283)/F283)*100, 0)</f>
        <v>100</v>
      </c>
    </row>
    <row r="284" spans="1:9" customFormat="1" ht="14.5" x14ac:dyDescent="0.35">
      <c r="D284" s="10"/>
      <c r="F284" s="10"/>
      <c r="G284" s="10"/>
      <c r="H284" s="10"/>
      <c r="I284" s="10"/>
    </row>
    <row r="285" spans="1:9" s="4" customFormat="1" x14ac:dyDescent="0.25">
      <c r="A285" s="3" t="s">
        <v>11</v>
      </c>
      <c r="B285" s="3" t="s">
        <v>11</v>
      </c>
      <c r="C285" s="3" t="s">
        <v>11</v>
      </c>
      <c r="D285" s="5">
        <f>SUBTOTAL(9, D283:D284)</f>
        <v>0</v>
      </c>
      <c r="E285" s="3" t="s">
        <v>11</v>
      </c>
      <c r="F285" s="5">
        <f>SUBTOTAL(9, F283:F284)</f>
        <v>3000</v>
      </c>
      <c r="G285" s="5">
        <f>SUBTOTAL(9, G283:G284)</f>
        <v>0</v>
      </c>
      <c r="H285" s="5">
        <f>SUBTOTAL(9, H283:H284)</f>
        <v>3000</v>
      </c>
      <c r="I285" s="5">
        <f>IF(F285&lt;&gt;0, ((F285-G285)/F285)*100, 0)</f>
        <v>100</v>
      </c>
    </row>
    <row r="286" spans="1:9" customFormat="1" ht="14.5" x14ac:dyDescent="0.35">
      <c r="D286" s="10"/>
      <c r="F286" s="10"/>
      <c r="G286" s="10"/>
      <c r="H286" s="10"/>
      <c r="I286" s="10"/>
    </row>
    <row r="287" spans="1:9" x14ac:dyDescent="0.25">
      <c r="A287" s="2" t="s">
        <v>152</v>
      </c>
      <c r="B287" s="2" t="s">
        <v>153</v>
      </c>
      <c r="C287" s="2" t="s">
        <v>11</v>
      </c>
      <c r="E287" s="2" t="s">
        <v>11</v>
      </c>
      <c r="F287" s="6">
        <v>2700</v>
      </c>
      <c r="H287" s="6">
        <f>F287-G287</f>
        <v>2700</v>
      </c>
      <c r="I287" s="6">
        <f>IF(F287&lt;&gt;0, ((F287-G287)/F287)*100, 0)</f>
        <v>100</v>
      </c>
    </row>
    <row r="288" spans="1:9" customFormat="1" ht="14.5" x14ac:dyDescent="0.35">
      <c r="D288" s="10"/>
      <c r="F288" s="10"/>
      <c r="G288" s="10"/>
      <c r="H288" s="10"/>
      <c r="I288" s="10"/>
    </row>
    <row r="289" spans="1:9" s="4" customFormat="1" x14ac:dyDescent="0.25">
      <c r="A289" s="3" t="s">
        <v>11</v>
      </c>
      <c r="B289" s="3" t="s">
        <v>11</v>
      </c>
      <c r="C289" s="3" t="s">
        <v>11</v>
      </c>
      <c r="D289" s="5">
        <f>SUBTOTAL(9, D287:D288)</f>
        <v>0</v>
      </c>
      <c r="E289" s="3" t="s">
        <v>11</v>
      </c>
      <c r="F289" s="5">
        <f>SUBTOTAL(9, F287:F288)</f>
        <v>2700</v>
      </c>
      <c r="G289" s="5">
        <f>SUBTOTAL(9, G287:G288)</f>
        <v>0</v>
      </c>
      <c r="H289" s="5">
        <f>SUBTOTAL(9, H287:H288)</f>
        <v>2700</v>
      </c>
      <c r="I289" s="5">
        <f>IF(F289&lt;&gt;0, ((F289-G289)/F289)*100, 0)</f>
        <v>100</v>
      </c>
    </row>
    <row r="290" spans="1:9" customFormat="1" ht="14.5" x14ac:dyDescent="0.35">
      <c r="D290" s="10"/>
      <c r="F290" s="10"/>
      <c r="G290" s="10"/>
      <c r="H290" s="10"/>
      <c r="I290" s="10"/>
    </row>
    <row r="291" spans="1:9" x14ac:dyDescent="0.25">
      <c r="A291" s="2" t="s">
        <v>154</v>
      </c>
      <c r="B291" s="2" t="s">
        <v>155</v>
      </c>
      <c r="C291" s="2" t="s">
        <v>11</v>
      </c>
      <c r="E291" s="2" t="s">
        <v>11</v>
      </c>
      <c r="F291" s="6">
        <v>3000</v>
      </c>
      <c r="H291" s="6">
        <f>F291-G291</f>
        <v>3000</v>
      </c>
      <c r="I291" s="6">
        <f>IF(F291&lt;&gt;0, ((F291-G291)/F291)*100, 0)</f>
        <v>100</v>
      </c>
    </row>
    <row r="292" spans="1:9" customFormat="1" ht="14.5" x14ac:dyDescent="0.35">
      <c r="D292" s="10"/>
      <c r="F292" s="10"/>
      <c r="G292" s="10"/>
      <c r="H292" s="10"/>
      <c r="I292" s="10"/>
    </row>
    <row r="293" spans="1:9" s="4" customFormat="1" x14ac:dyDescent="0.25">
      <c r="A293" s="3" t="s">
        <v>11</v>
      </c>
      <c r="B293" s="3" t="s">
        <v>11</v>
      </c>
      <c r="C293" s="3" t="s">
        <v>11</v>
      </c>
      <c r="D293" s="5">
        <f>SUBTOTAL(9, D291:D292)</f>
        <v>0</v>
      </c>
      <c r="E293" s="3" t="s">
        <v>11</v>
      </c>
      <c r="F293" s="5">
        <f>SUBTOTAL(9, F291:F292)</f>
        <v>3000</v>
      </c>
      <c r="G293" s="5">
        <f>SUBTOTAL(9, G291:G292)</f>
        <v>0</v>
      </c>
      <c r="H293" s="5">
        <f>SUBTOTAL(9, H291:H292)</f>
        <v>3000</v>
      </c>
      <c r="I293" s="5">
        <f>IF(F293&lt;&gt;0, ((F293-G293)/F293)*100, 0)</f>
        <v>100</v>
      </c>
    </row>
    <row r="294" spans="1:9" customFormat="1" ht="14.5" x14ac:dyDescent="0.35">
      <c r="D294" s="10"/>
      <c r="F294" s="10"/>
      <c r="G294" s="10"/>
      <c r="H294" s="10"/>
      <c r="I294" s="10"/>
    </row>
    <row r="295" spans="1:9" x14ac:dyDescent="0.25">
      <c r="A295" s="2" t="s">
        <v>156</v>
      </c>
      <c r="B295" s="2" t="s">
        <v>157</v>
      </c>
      <c r="C295" s="2" t="s">
        <v>11</v>
      </c>
      <c r="E295" s="2" t="s">
        <v>11</v>
      </c>
      <c r="F295" s="6">
        <v>10000</v>
      </c>
      <c r="H295" s="6">
        <f>F295-G295</f>
        <v>10000</v>
      </c>
      <c r="I295" s="6">
        <f>IF(F295&lt;&gt;0, ((F295-G295)/F295)*100, 0)</f>
        <v>100</v>
      </c>
    </row>
    <row r="296" spans="1:9" customFormat="1" ht="14.5" x14ac:dyDescent="0.35">
      <c r="D296" s="10"/>
      <c r="F296" s="10"/>
      <c r="G296" s="10"/>
      <c r="H296" s="10"/>
      <c r="I296" s="10"/>
    </row>
    <row r="297" spans="1:9" s="4" customFormat="1" x14ac:dyDescent="0.25">
      <c r="A297" s="3" t="s">
        <v>11</v>
      </c>
      <c r="B297" s="3" t="s">
        <v>11</v>
      </c>
      <c r="C297" s="3" t="s">
        <v>11</v>
      </c>
      <c r="D297" s="5">
        <f>SUBTOTAL(9, D295:D296)</f>
        <v>0</v>
      </c>
      <c r="E297" s="3" t="s">
        <v>11</v>
      </c>
      <c r="F297" s="5">
        <f>SUBTOTAL(9, F295:F296)</f>
        <v>10000</v>
      </c>
      <c r="G297" s="5">
        <f>SUBTOTAL(9, G295:G296)</f>
        <v>0</v>
      </c>
      <c r="H297" s="5">
        <f>SUBTOTAL(9, H295:H296)</f>
        <v>10000</v>
      </c>
      <c r="I297" s="5">
        <f>IF(F297&lt;&gt;0, ((F297-G297)/F297)*100, 0)</f>
        <v>100</v>
      </c>
    </row>
    <row r="298" spans="1:9" customFormat="1" ht="14.5" x14ac:dyDescent="0.35">
      <c r="D298" s="10"/>
      <c r="F298" s="10"/>
      <c r="G298" s="10"/>
      <c r="H298" s="10"/>
      <c r="I298" s="10"/>
    </row>
    <row r="299" spans="1:9" x14ac:dyDescent="0.25">
      <c r="A299" s="2" t="s">
        <v>158</v>
      </c>
      <c r="B299" s="2" t="s">
        <v>159</v>
      </c>
      <c r="C299" s="2" t="s">
        <v>11</v>
      </c>
      <c r="E299" s="2" t="s">
        <v>11</v>
      </c>
      <c r="F299" s="6">
        <v>60000</v>
      </c>
      <c r="H299" s="6">
        <f>F299-G299</f>
        <v>60000</v>
      </c>
      <c r="I299" s="6">
        <f>IF(F299&lt;&gt;0, ((F299-G299)/F299)*100, 0)</f>
        <v>100</v>
      </c>
    </row>
    <row r="300" spans="1:9" customFormat="1" ht="14.5" x14ac:dyDescent="0.35">
      <c r="D300" s="10"/>
      <c r="F300" s="10"/>
      <c r="G300" s="10"/>
      <c r="H300" s="10"/>
      <c r="I300" s="10"/>
    </row>
    <row r="301" spans="1:9" s="4" customFormat="1" x14ac:dyDescent="0.25">
      <c r="A301" s="3" t="s">
        <v>11</v>
      </c>
      <c r="B301" s="3" t="s">
        <v>11</v>
      </c>
      <c r="C301" s="3" t="s">
        <v>11</v>
      </c>
      <c r="D301" s="5">
        <f>SUBTOTAL(9, D299:D300)</f>
        <v>0</v>
      </c>
      <c r="E301" s="3" t="s">
        <v>11</v>
      </c>
      <c r="F301" s="5">
        <f>SUBTOTAL(9, F299:F300)</f>
        <v>60000</v>
      </c>
      <c r="G301" s="5">
        <f>SUBTOTAL(9, G299:G300)</f>
        <v>0</v>
      </c>
      <c r="H301" s="5">
        <f>SUBTOTAL(9, H299:H300)</f>
        <v>60000</v>
      </c>
      <c r="I301" s="5">
        <f>IF(F301&lt;&gt;0, ((F301-G301)/F301)*100, 0)</f>
        <v>100</v>
      </c>
    </row>
    <row r="302" spans="1:9" customFormat="1" ht="14.5" x14ac:dyDescent="0.35">
      <c r="D302" s="10"/>
      <c r="F302" s="10"/>
      <c r="G302" s="10"/>
      <c r="H302" s="10"/>
      <c r="I302" s="10"/>
    </row>
    <row r="303" spans="1:9" x14ac:dyDescent="0.25">
      <c r="A303" s="2" t="s">
        <v>160</v>
      </c>
      <c r="B303" s="2" t="s">
        <v>161</v>
      </c>
      <c r="C303" s="2" t="s">
        <v>11</v>
      </c>
      <c r="E303" s="2" t="s">
        <v>11</v>
      </c>
      <c r="F303" s="6">
        <v>2000</v>
      </c>
      <c r="H303" s="6">
        <f>F303-G303</f>
        <v>2000</v>
      </c>
      <c r="I303" s="6">
        <f>IF(F303&lt;&gt;0, ((F303-G303)/F303)*100, 0)</f>
        <v>100</v>
      </c>
    </row>
    <row r="304" spans="1:9" customFormat="1" ht="14.5" x14ac:dyDescent="0.35">
      <c r="D304" s="10"/>
      <c r="F304" s="10"/>
      <c r="G304" s="10"/>
      <c r="H304" s="10"/>
      <c r="I304" s="10"/>
    </row>
    <row r="305" spans="1:9" s="4" customFormat="1" x14ac:dyDescent="0.25">
      <c r="A305" s="3" t="s">
        <v>11</v>
      </c>
      <c r="B305" s="3" t="s">
        <v>11</v>
      </c>
      <c r="C305" s="3" t="s">
        <v>11</v>
      </c>
      <c r="D305" s="5">
        <f>SUBTOTAL(9, D303:D304)</f>
        <v>0</v>
      </c>
      <c r="E305" s="3" t="s">
        <v>11</v>
      </c>
      <c r="F305" s="5">
        <f>SUBTOTAL(9, F303:F304)</f>
        <v>2000</v>
      </c>
      <c r="G305" s="5">
        <f>SUBTOTAL(9, G303:G304)</f>
        <v>0</v>
      </c>
      <c r="H305" s="5">
        <f>SUBTOTAL(9, H303:H304)</f>
        <v>2000</v>
      </c>
      <c r="I305" s="5">
        <f>IF(F305&lt;&gt;0, ((F305-G305)/F305)*100, 0)</f>
        <v>100</v>
      </c>
    </row>
    <row r="306" spans="1:9" customFormat="1" ht="14.5" x14ac:dyDescent="0.35">
      <c r="D306" s="10"/>
      <c r="F306" s="10"/>
      <c r="G306" s="10"/>
      <c r="H306" s="10"/>
      <c r="I306" s="10"/>
    </row>
    <row r="307" spans="1:9" x14ac:dyDescent="0.25">
      <c r="A307" s="2" t="s">
        <v>162</v>
      </c>
      <c r="B307" s="2" t="s">
        <v>163</v>
      </c>
      <c r="C307" s="2" t="s">
        <v>11</v>
      </c>
      <c r="E307" s="2" t="s">
        <v>11</v>
      </c>
      <c r="F307" s="6">
        <v>4500</v>
      </c>
      <c r="H307" s="6">
        <f>F307-G307</f>
        <v>4500</v>
      </c>
      <c r="I307" s="6">
        <f>IF(F307&lt;&gt;0, ((F307-G307)/F307)*100, 0)</f>
        <v>100</v>
      </c>
    </row>
    <row r="308" spans="1:9" customFormat="1" ht="14.5" x14ac:dyDescent="0.35">
      <c r="D308" s="10"/>
      <c r="F308" s="10"/>
      <c r="G308" s="10"/>
      <c r="H308" s="10"/>
      <c r="I308" s="10"/>
    </row>
    <row r="309" spans="1:9" s="4" customFormat="1" x14ac:dyDescent="0.25">
      <c r="A309" s="3" t="s">
        <v>11</v>
      </c>
      <c r="B309" s="3" t="s">
        <v>11</v>
      </c>
      <c r="C309" s="3" t="s">
        <v>11</v>
      </c>
      <c r="D309" s="5">
        <f>SUBTOTAL(9, D307:D308)</f>
        <v>0</v>
      </c>
      <c r="E309" s="3" t="s">
        <v>11</v>
      </c>
      <c r="F309" s="5">
        <f>SUBTOTAL(9, F307:F308)</f>
        <v>4500</v>
      </c>
      <c r="G309" s="5">
        <f>SUBTOTAL(9, G307:G308)</f>
        <v>0</v>
      </c>
      <c r="H309" s="5">
        <f>SUBTOTAL(9, H307:H308)</f>
        <v>4500</v>
      </c>
      <c r="I309" s="5">
        <f>IF(F309&lt;&gt;0, ((F309-G309)/F309)*100, 0)</f>
        <v>100</v>
      </c>
    </row>
    <row r="310" spans="1:9" customFormat="1" ht="14.5" x14ac:dyDescent="0.35">
      <c r="D310" s="10"/>
      <c r="F310" s="10"/>
      <c r="G310" s="10"/>
      <c r="H310" s="10"/>
      <c r="I310" s="10"/>
    </row>
    <row r="311" spans="1:9" x14ac:dyDescent="0.25">
      <c r="A311" s="2" t="s">
        <v>164</v>
      </c>
      <c r="B311" s="2" t="s">
        <v>165</v>
      </c>
      <c r="C311" s="2" t="s">
        <v>11</v>
      </c>
      <c r="E311" s="2" t="s">
        <v>11</v>
      </c>
      <c r="F311" s="6">
        <v>20300</v>
      </c>
      <c r="H311" s="6">
        <f>F311-G311</f>
        <v>20300</v>
      </c>
      <c r="I311" s="6">
        <f>IF(F311&lt;&gt;0, ((F311-G311)/F311)*100, 0)</f>
        <v>100</v>
      </c>
    </row>
    <row r="312" spans="1:9" customFormat="1" ht="14.5" x14ac:dyDescent="0.35">
      <c r="D312" s="10"/>
      <c r="F312" s="10"/>
      <c r="G312" s="10"/>
      <c r="H312" s="10"/>
      <c r="I312" s="10"/>
    </row>
    <row r="313" spans="1:9" s="4" customFormat="1" x14ac:dyDescent="0.25">
      <c r="A313" s="3" t="s">
        <v>11</v>
      </c>
      <c r="B313" s="3" t="s">
        <v>11</v>
      </c>
      <c r="C313" s="3" t="s">
        <v>11</v>
      </c>
      <c r="D313" s="5">
        <f>SUBTOTAL(9, D311:D312)</f>
        <v>0</v>
      </c>
      <c r="E313" s="3" t="s">
        <v>11</v>
      </c>
      <c r="F313" s="5">
        <f>SUBTOTAL(9, F311:F312)</f>
        <v>20300</v>
      </c>
      <c r="G313" s="5">
        <f>SUBTOTAL(9, G311:G312)</f>
        <v>0</v>
      </c>
      <c r="H313" s="5">
        <f>SUBTOTAL(9, H311:H312)</f>
        <v>20300</v>
      </c>
      <c r="I313" s="5">
        <f>IF(F313&lt;&gt;0, ((F313-G313)/F313)*100, 0)</f>
        <v>100</v>
      </c>
    </row>
    <row r="314" spans="1:9" customFormat="1" ht="14.5" x14ac:dyDescent="0.35">
      <c r="D314" s="10"/>
      <c r="F314" s="10"/>
      <c r="G314" s="10"/>
      <c r="H314" s="10"/>
      <c r="I314" s="10"/>
    </row>
    <row r="315" spans="1:9" x14ac:dyDescent="0.25">
      <c r="A315" s="2" t="s">
        <v>166</v>
      </c>
      <c r="B315" s="2" t="s">
        <v>167</v>
      </c>
      <c r="C315" s="2" t="s">
        <v>11</v>
      </c>
      <c r="E315" s="2" t="s">
        <v>11</v>
      </c>
      <c r="F315" s="6">
        <v>393000</v>
      </c>
      <c r="H315" s="6">
        <f>F315-G315</f>
        <v>393000</v>
      </c>
      <c r="I315" s="6">
        <f>IF(F315&lt;&gt;0, ((F315-G315)/F315)*100, 0)</f>
        <v>100</v>
      </c>
    </row>
    <row r="316" spans="1:9" customFormat="1" ht="14.5" x14ac:dyDescent="0.35">
      <c r="D316" s="10"/>
      <c r="F316" s="10"/>
      <c r="G316" s="10"/>
      <c r="H316" s="10"/>
      <c r="I316" s="10"/>
    </row>
    <row r="317" spans="1:9" s="4" customFormat="1" x14ac:dyDescent="0.25">
      <c r="A317" s="3" t="s">
        <v>11</v>
      </c>
      <c r="B317" s="3" t="s">
        <v>11</v>
      </c>
      <c r="C317" s="3" t="s">
        <v>11</v>
      </c>
      <c r="D317" s="5">
        <f>SUBTOTAL(9, D315:D316)</f>
        <v>0</v>
      </c>
      <c r="E317" s="3" t="s">
        <v>11</v>
      </c>
      <c r="F317" s="5">
        <f>SUBTOTAL(9, F315:F316)</f>
        <v>393000</v>
      </c>
      <c r="G317" s="5">
        <f>SUBTOTAL(9, G315:G316)</f>
        <v>0</v>
      </c>
      <c r="H317" s="5">
        <f>SUBTOTAL(9, H315:H316)</f>
        <v>393000</v>
      </c>
      <c r="I317" s="5">
        <f>IF(F317&lt;&gt;0, ((F317-G317)/F317)*100, 0)</f>
        <v>100</v>
      </c>
    </row>
    <row r="318" spans="1:9" customFormat="1" ht="14.5" x14ac:dyDescent="0.35">
      <c r="D318" s="10"/>
      <c r="F318" s="10"/>
      <c r="G318" s="10"/>
      <c r="H318" s="10"/>
      <c r="I318" s="10"/>
    </row>
    <row r="319" spans="1:9" x14ac:dyDescent="0.25">
      <c r="A319" s="2" t="s">
        <v>168</v>
      </c>
      <c r="B319" s="2" t="s">
        <v>169</v>
      </c>
      <c r="C319" s="2" t="s">
        <v>11</v>
      </c>
      <c r="E319" s="2" t="s">
        <v>11</v>
      </c>
      <c r="F319" s="6">
        <v>5500</v>
      </c>
      <c r="H319" s="6">
        <f>F319-G319</f>
        <v>5500</v>
      </c>
      <c r="I319" s="6">
        <f>IF(F319&lt;&gt;0, ((F319-G319)/F319)*100, 0)</f>
        <v>100</v>
      </c>
    </row>
    <row r="320" spans="1:9" customFormat="1" ht="14.5" x14ac:dyDescent="0.35">
      <c r="D320" s="10"/>
      <c r="F320" s="10"/>
      <c r="G320" s="10"/>
      <c r="H320" s="10"/>
      <c r="I320" s="10"/>
    </row>
    <row r="321" spans="1:9" s="4" customFormat="1" x14ac:dyDescent="0.25">
      <c r="A321" s="3" t="s">
        <v>11</v>
      </c>
      <c r="B321" s="3" t="s">
        <v>11</v>
      </c>
      <c r="C321" s="3" t="s">
        <v>11</v>
      </c>
      <c r="D321" s="5">
        <f>SUBTOTAL(9, D319:D320)</f>
        <v>0</v>
      </c>
      <c r="E321" s="3" t="s">
        <v>11</v>
      </c>
      <c r="F321" s="5">
        <f>SUBTOTAL(9, F319:F320)</f>
        <v>5500</v>
      </c>
      <c r="G321" s="5">
        <f>SUBTOTAL(9, G319:G320)</f>
        <v>0</v>
      </c>
      <c r="H321" s="5">
        <f>SUBTOTAL(9, H319:H320)</f>
        <v>5500</v>
      </c>
      <c r="I321" s="5">
        <f>IF(F321&lt;&gt;0, ((F321-G321)/F321)*100, 0)</f>
        <v>100</v>
      </c>
    </row>
    <row r="322" spans="1:9" customFormat="1" ht="14.5" x14ac:dyDescent="0.35">
      <c r="D322" s="10"/>
      <c r="F322" s="10"/>
      <c r="G322" s="10"/>
      <c r="H322" s="10"/>
      <c r="I322" s="10"/>
    </row>
    <row r="323" spans="1:9" x14ac:dyDescent="0.25">
      <c r="A323" s="2" t="s">
        <v>170</v>
      </c>
      <c r="B323" s="2" t="s">
        <v>171</v>
      </c>
      <c r="C323" s="2" t="s">
        <v>11</v>
      </c>
      <c r="E323" s="2" t="s">
        <v>11</v>
      </c>
      <c r="F323" s="6">
        <v>5000</v>
      </c>
      <c r="H323" s="6">
        <f>F323-G323</f>
        <v>5000</v>
      </c>
      <c r="I323" s="6">
        <f>IF(F323&lt;&gt;0, ((F323-G323)/F323)*100, 0)</f>
        <v>100</v>
      </c>
    </row>
    <row r="324" spans="1:9" customFormat="1" ht="14.5" x14ac:dyDescent="0.35">
      <c r="D324" s="10"/>
      <c r="F324" s="10"/>
      <c r="G324" s="10"/>
      <c r="H324" s="10"/>
      <c r="I324" s="10"/>
    </row>
    <row r="325" spans="1:9" s="4" customFormat="1" x14ac:dyDescent="0.25">
      <c r="A325" s="3" t="s">
        <v>11</v>
      </c>
      <c r="B325" s="3" t="s">
        <v>11</v>
      </c>
      <c r="C325" s="3" t="s">
        <v>11</v>
      </c>
      <c r="D325" s="5">
        <f>SUBTOTAL(9, D323:D324)</f>
        <v>0</v>
      </c>
      <c r="E325" s="3" t="s">
        <v>11</v>
      </c>
      <c r="F325" s="5">
        <f>SUBTOTAL(9, F323:F324)</f>
        <v>5000</v>
      </c>
      <c r="G325" s="5">
        <f>SUBTOTAL(9, G323:G324)</f>
        <v>0</v>
      </c>
      <c r="H325" s="5">
        <f>SUBTOTAL(9, H323:H324)</f>
        <v>5000</v>
      </c>
      <c r="I325" s="5">
        <f>IF(F325&lt;&gt;0, ((F325-G325)/F325)*100, 0)</f>
        <v>100</v>
      </c>
    </row>
    <row r="326" spans="1:9" customFormat="1" ht="14.5" x14ac:dyDescent="0.35">
      <c r="D326" s="10"/>
      <c r="F326" s="10"/>
      <c r="G326" s="10"/>
      <c r="H326" s="10"/>
      <c r="I326" s="10"/>
    </row>
    <row r="327" spans="1:9" x14ac:dyDescent="0.25">
      <c r="A327" s="2" t="s">
        <v>172</v>
      </c>
      <c r="B327" s="2" t="s">
        <v>173</v>
      </c>
      <c r="C327" s="2" t="s">
        <v>11</v>
      </c>
      <c r="E327" s="2" t="s">
        <v>11</v>
      </c>
      <c r="F327" s="6">
        <v>52800</v>
      </c>
      <c r="H327" s="6">
        <f>F327-G327</f>
        <v>52800</v>
      </c>
      <c r="I327" s="6">
        <f>IF(F327&lt;&gt;0, ((F327-G327)/F327)*100, 0)</f>
        <v>100</v>
      </c>
    </row>
    <row r="328" spans="1:9" customFormat="1" ht="14.5" x14ac:dyDescent="0.35">
      <c r="D328" s="10"/>
      <c r="F328" s="10"/>
      <c r="G328" s="10"/>
      <c r="H328" s="10"/>
      <c r="I328" s="10"/>
    </row>
    <row r="329" spans="1:9" s="4" customFormat="1" x14ac:dyDescent="0.25">
      <c r="A329" s="3" t="s">
        <v>11</v>
      </c>
      <c r="B329" s="3" t="s">
        <v>11</v>
      </c>
      <c r="C329" s="3" t="s">
        <v>11</v>
      </c>
      <c r="D329" s="5">
        <f>SUBTOTAL(9, D327:D328)</f>
        <v>0</v>
      </c>
      <c r="E329" s="3" t="s">
        <v>11</v>
      </c>
      <c r="F329" s="5">
        <f>SUBTOTAL(9, F327:F328)</f>
        <v>52800</v>
      </c>
      <c r="G329" s="5">
        <f>SUBTOTAL(9, G327:G328)</f>
        <v>0</v>
      </c>
      <c r="H329" s="5">
        <f>SUBTOTAL(9, H327:H328)</f>
        <v>52800</v>
      </c>
      <c r="I329" s="5">
        <f>IF(F329&lt;&gt;0, ((F329-G329)/F329)*100, 0)</f>
        <v>100</v>
      </c>
    </row>
    <row r="330" spans="1:9" customFormat="1" ht="14.5" x14ac:dyDescent="0.35">
      <c r="D330" s="10"/>
      <c r="F330" s="10"/>
      <c r="G330" s="10"/>
      <c r="H330" s="10"/>
      <c r="I330" s="10"/>
    </row>
    <row r="331" spans="1:9" x14ac:dyDescent="0.25">
      <c r="A331" s="2" t="s">
        <v>174</v>
      </c>
      <c r="B331" s="2" t="s">
        <v>175</v>
      </c>
      <c r="C331" s="2" t="s">
        <v>11</v>
      </c>
      <c r="E331" s="2" t="s">
        <v>11</v>
      </c>
      <c r="F331" s="6">
        <v>2600</v>
      </c>
      <c r="H331" s="6">
        <f>F331-G331</f>
        <v>2600</v>
      </c>
      <c r="I331" s="6">
        <f>IF(F331&lt;&gt;0, ((F331-G331)/F331)*100, 0)</f>
        <v>100</v>
      </c>
    </row>
    <row r="332" spans="1:9" customFormat="1" ht="14.5" x14ac:dyDescent="0.35">
      <c r="D332" s="10"/>
      <c r="F332" s="10"/>
      <c r="G332" s="10"/>
      <c r="H332" s="10"/>
      <c r="I332" s="10"/>
    </row>
    <row r="333" spans="1:9" s="4" customFormat="1" x14ac:dyDescent="0.25">
      <c r="A333" s="3" t="s">
        <v>11</v>
      </c>
      <c r="B333" s="3" t="s">
        <v>11</v>
      </c>
      <c r="C333" s="3" t="s">
        <v>11</v>
      </c>
      <c r="D333" s="5">
        <f>SUBTOTAL(9, D331:D332)</f>
        <v>0</v>
      </c>
      <c r="E333" s="3" t="s">
        <v>11</v>
      </c>
      <c r="F333" s="5">
        <f>SUBTOTAL(9, F331:F332)</f>
        <v>2600</v>
      </c>
      <c r="G333" s="5">
        <f>SUBTOTAL(9, G331:G332)</f>
        <v>0</v>
      </c>
      <c r="H333" s="5">
        <f>SUBTOTAL(9, H331:H332)</f>
        <v>2600</v>
      </c>
      <c r="I333" s="5">
        <f>IF(F333&lt;&gt;0, ((F333-G333)/F333)*100, 0)</f>
        <v>100</v>
      </c>
    </row>
    <row r="334" spans="1:9" customFormat="1" ht="14.5" x14ac:dyDescent="0.35">
      <c r="D334" s="10"/>
      <c r="F334" s="10"/>
      <c r="G334" s="10"/>
      <c r="H334" s="10"/>
      <c r="I334" s="10"/>
    </row>
    <row r="335" spans="1:9" x14ac:dyDescent="0.25">
      <c r="A335" s="2" t="s">
        <v>176</v>
      </c>
      <c r="B335" s="2" t="s">
        <v>177</v>
      </c>
      <c r="C335" s="2" t="s">
        <v>11</v>
      </c>
      <c r="E335" s="2" t="s">
        <v>11</v>
      </c>
      <c r="F335" s="6">
        <v>9000</v>
      </c>
      <c r="H335" s="6">
        <f>F335-G335</f>
        <v>9000</v>
      </c>
      <c r="I335" s="6">
        <f>IF(F335&lt;&gt;0, ((F335-G335)/F335)*100, 0)</f>
        <v>100</v>
      </c>
    </row>
    <row r="336" spans="1:9" customFormat="1" ht="14.5" x14ac:dyDescent="0.35">
      <c r="D336" s="10"/>
      <c r="F336" s="10"/>
      <c r="G336" s="10"/>
      <c r="H336" s="10"/>
      <c r="I336" s="10"/>
    </row>
    <row r="337" spans="1:9" s="4" customFormat="1" x14ac:dyDescent="0.25">
      <c r="A337" s="3" t="s">
        <v>11</v>
      </c>
      <c r="B337" s="3" t="s">
        <v>11</v>
      </c>
      <c r="C337" s="3" t="s">
        <v>11</v>
      </c>
      <c r="D337" s="5">
        <f>SUBTOTAL(9, D335:D336)</f>
        <v>0</v>
      </c>
      <c r="E337" s="3" t="s">
        <v>11</v>
      </c>
      <c r="F337" s="5">
        <f>SUBTOTAL(9, F335:F336)</f>
        <v>9000</v>
      </c>
      <c r="G337" s="5">
        <f>SUBTOTAL(9, G335:G336)</f>
        <v>0</v>
      </c>
      <c r="H337" s="5">
        <f>SUBTOTAL(9, H335:H336)</f>
        <v>9000</v>
      </c>
      <c r="I337" s="5">
        <f>IF(F337&lt;&gt;0, ((F337-G337)/F337)*100, 0)</f>
        <v>100</v>
      </c>
    </row>
    <row r="338" spans="1:9" customFormat="1" ht="14.5" x14ac:dyDescent="0.35">
      <c r="D338" s="10"/>
      <c r="F338" s="10"/>
      <c r="G338" s="10"/>
      <c r="H338" s="10"/>
      <c r="I338" s="10"/>
    </row>
    <row r="339" spans="1:9" x14ac:dyDescent="0.25">
      <c r="A339" s="2" t="s">
        <v>178</v>
      </c>
      <c r="B339" s="2" t="s">
        <v>179</v>
      </c>
      <c r="C339" s="2" t="s">
        <v>11</v>
      </c>
      <c r="E339" s="2" t="s">
        <v>11</v>
      </c>
      <c r="F339" s="6">
        <v>2000</v>
      </c>
      <c r="H339" s="6">
        <f>F339-G339</f>
        <v>2000</v>
      </c>
      <c r="I339" s="6">
        <f>IF(F339&lt;&gt;0, ((F339-G339)/F339)*100, 0)</f>
        <v>100</v>
      </c>
    </row>
    <row r="340" spans="1:9" customFormat="1" ht="14.5" x14ac:dyDescent="0.35">
      <c r="D340" s="10"/>
      <c r="F340" s="10"/>
      <c r="G340" s="10"/>
      <c r="H340" s="10"/>
      <c r="I340" s="10"/>
    </row>
    <row r="341" spans="1:9" s="4" customFormat="1" x14ac:dyDescent="0.25">
      <c r="A341" s="3" t="s">
        <v>11</v>
      </c>
      <c r="B341" s="3" t="s">
        <v>11</v>
      </c>
      <c r="C341" s="3" t="s">
        <v>11</v>
      </c>
      <c r="D341" s="5">
        <f>SUBTOTAL(9, D339:D340)</f>
        <v>0</v>
      </c>
      <c r="E341" s="3" t="s">
        <v>11</v>
      </c>
      <c r="F341" s="5">
        <f>SUBTOTAL(9, F339:F340)</f>
        <v>2000</v>
      </c>
      <c r="G341" s="5">
        <f>SUBTOTAL(9, G339:G340)</f>
        <v>0</v>
      </c>
      <c r="H341" s="5">
        <f>SUBTOTAL(9, H339:H340)</f>
        <v>2000</v>
      </c>
      <c r="I341" s="5">
        <f>IF(F341&lt;&gt;0, ((F341-G341)/F341)*100, 0)</f>
        <v>100</v>
      </c>
    </row>
    <row r="342" spans="1:9" customFormat="1" ht="14.5" x14ac:dyDescent="0.35">
      <c r="D342" s="10"/>
      <c r="F342" s="10"/>
      <c r="G342" s="10"/>
      <c r="H342" s="10"/>
      <c r="I342" s="10"/>
    </row>
    <row r="343" spans="1:9" x14ac:dyDescent="0.25">
      <c r="A343" s="2" t="s">
        <v>180</v>
      </c>
      <c r="B343" s="2" t="s">
        <v>181</v>
      </c>
      <c r="C343" s="2" t="s">
        <v>11</v>
      </c>
      <c r="E343" s="2" t="s">
        <v>11</v>
      </c>
      <c r="F343" s="6">
        <v>1000</v>
      </c>
      <c r="H343" s="6">
        <f>F343-G343</f>
        <v>1000</v>
      </c>
      <c r="I343" s="6">
        <f>IF(F343&lt;&gt;0, ((F343-G343)/F343)*100, 0)</f>
        <v>100</v>
      </c>
    </row>
    <row r="344" spans="1:9" customFormat="1" ht="14.5" x14ac:dyDescent="0.35">
      <c r="D344" s="10"/>
      <c r="F344" s="10"/>
      <c r="G344" s="10"/>
      <c r="H344" s="10"/>
      <c r="I344" s="10"/>
    </row>
    <row r="345" spans="1:9" s="4" customFormat="1" x14ac:dyDescent="0.25">
      <c r="A345" s="3" t="s">
        <v>11</v>
      </c>
      <c r="B345" s="3" t="s">
        <v>11</v>
      </c>
      <c r="C345" s="3" t="s">
        <v>11</v>
      </c>
      <c r="D345" s="5">
        <f>SUBTOTAL(9, D343:D344)</f>
        <v>0</v>
      </c>
      <c r="E345" s="3" t="s">
        <v>11</v>
      </c>
      <c r="F345" s="5">
        <f>SUBTOTAL(9, F343:F344)</f>
        <v>1000</v>
      </c>
      <c r="G345" s="5">
        <f>SUBTOTAL(9, G343:G344)</f>
        <v>0</v>
      </c>
      <c r="H345" s="5">
        <f>SUBTOTAL(9, H343:H344)</f>
        <v>1000</v>
      </c>
      <c r="I345" s="5">
        <f>IF(F345&lt;&gt;0, ((F345-G345)/F345)*100, 0)</f>
        <v>100</v>
      </c>
    </row>
    <row r="346" spans="1:9" customFormat="1" ht="14.5" x14ac:dyDescent="0.35">
      <c r="D346" s="10"/>
      <c r="F346" s="10"/>
      <c r="G346" s="10"/>
      <c r="H346" s="10"/>
      <c r="I346" s="10"/>
    </row>
    <row r="347" spans="1:9" x14ac:dyDescent="0.25">
      <c r="A347" s="2" t="s">
        <v>182</v>
      </c>
      <c r="B347" s="2" t="s">
        <v>183</v>
      </c>
      <c r="C347" s="2" t="s">
        <v>11</v>
      </c>
      <c r="E347" s="2" t="s">
        <v>11</v>
      </c>
      <c r="F347" s="6">
        <v>3300</v>
      </c>
      <c r="H347" s="6">
        <f>F347-G347</f>
        <v>3300</v>
      </c>
      <c r="I347" s="6">
        <f>IF(F347&lt;&gt;0, ((F347-G347)/F347)*100, 0)</f>
        <v>100</v>
      </c>
    </row>
    <row r="348" spans="1:9" customFormat="1" ht="14.5" x14ac:dyDescent="0.35">
      <c r="D348" s="10"/>
      <c r="F348" s="10"/>
      <c r="G348" s="10"/>
      <c r="H348" s="10"/>
      <c r="I348" s="10"/>
    </row>
    <row r="349" spans="1:9" s="4" customFormat="1" x14ac:dyDescent="0.25">
      <c r="A349" s="3" t="s">
        <v>11</v>
      </c>
      <c r="B349" s="3" t="s">
        <v>11</v>
      </c>
      <c r="C349" s="3" t="s">
        <v>11</v>
      </c>
      <c r="D349" s="5">
        <f>SUBTOTAL(9, D347:D348)</f>
        <v>0</v>
      </c>
      <c r="E349" s="3" t="s">
        <v>11</v>
      </c>
      <c r="F349" s="5">
        <f>SUBTOTAL(9, F347:F348)</f>
        <v>3300</v>
      </c>
      <c r="G349" s="5">
        <f>SUBTOTAL(9, G347:G348)</f>
        <v>0</v>
      </c>
      <c r="H349" s="5">
        <f>SUBTOTAL(9, H347:H348)</f>
        <v>3300</v>
      </c>
      <c r="I349" s="5">
        <f>IF(F349&lt;&gt;0, ((F349-G349)/F349)*100, 0)</f>
        <v>100</v>
      </c>
    </row>
    <row r="350" spans="1:9" customFormat="1" ht="14.5" x14ac:dyDescent="0.35">
      <c r="D350" s="10"/>
      <c r="F350" s="10"/>
      <c r="G350" s="10"/>
      <c r="H350" s="10"/>
      <c r="I350" s="10"/>
    </row>
    <row r="351" spans="1:9" x14ac:dyDescent="0.25">
      <c r="A351" s="2" t="s">
        <v>184</v>
      </c>
      <c r="B351" s="2" t="s">
        <v>185</v>
      </c>
      <c r="C351" s="2" t="s">
        <v>11</v>
      </c>
      <c r="E351" s="2" t="s">
        <v>11</v>
      </c>
      <c r="F351" s="6">
        <v>1500</v>
      </c>
      <c r="H351" s="6">
        <f>F351-G351</f>
        <v>1500</v>
      </c>
      <c r="I351" s="6">
        <f>IF(F351&lt;&gt;0, ((F351-G351)/F351)*100, 0)</f>
        <v>100</v>
      </c>
    </row>
    <row r="352" spans="1:9" customFormat="1" ht="14.5" x14ac:dyDescent="0.35">
      <c r="D352" s="10"/>
      <c r="F352" s="10"/>
      <c r="G352" s="10"/>
      <c r="H352" s="10"/>
      <c r="I352" s="10"/>
    </row>
    <row r="353" spans="1:9" s="4" customFormat="1" x14ac:dyDescent="0.25">
      <c r="A353" s="3" t="s">
        <v>11</v>
      </c>
      <c r="B353" s="3" t="s">
        <v>11</v>
      </c>
      <c r="C353" s="3" t="s">
        <v>11</v>
      </c>
      <c r="D353" s="5">
        <f>SUBTOTAL(9, D351:D352)</f>
        <v>0</v>
      </c>
      <c r="E353" s="3" t="s">
        <v>11</v>
      </c>
      <c r="F353" s="5">
        <f>SUBTOTAL(9, F351:F352)</f>
        <v>1500</v>
      </c>
      <c r="G353" s="5">
        <f>SUBTOTAL(9, G351:G352)</f>
        <v>0</v>
      </c>
      <c r="H353" s="5">
        <f>SUBTOTAL(9, H351:H352)</f>
        <v>1500</v>
      </c>
      <c r="I353" s="5">
        <f>IF(F353&lt;&gt;0, ((F353-G353)/F353)*100, 0)</f>
        <v>100</v>
      </c>
    </row>
    <row r="354" spans="1:9" customFormat="1" ht="14.5" x14ac:dyDescent="0.35">
      <c r="D354" s="10"/>
      <c r="F354" s="10"/>
      <c r="G354" s="10"/>
      <c r="H354" s="10"/>
      <c r="I354" s="10"/>
    </row>
    <row r="355" spans="1:9" x14ac:dyDescent="0.25">
      <c r="A355" s="2" t="s">
        <v>186</v>
      </c>
      <c r="B355" s="2" t="s">
        <v>187</v>
      </c>
      <c r="C355" s="2" t="s">
        <v>11</v>
      </c>
      <c r="E355" s="2" t="s">
        <v>11</v>
      </c>
      <c r="F355" s="6">
        <v>3000</v>
      </c>
      <c r="H355" s="6">
        <f>F355-G355</f>
        <v>3000</v>
      </c>
      <c r="I355" s="6">
        <f>IF(F355&lt;&gt;0, ((F355-G355)/F355)*100, 0)</f>
        <v>100</v>
      </c>
    </row>
    <row r="356" spans="1:9" customFormat="1" ht="14.5" x14ac:dyDescent="0.35">
      <c r="D356" s="10"/>
      <c r="F356" s="10"/>
      <c r="G356" s="10"/>
      <c r="H356" s="10"/>
      <c r="I356" s="10"/>
    </row>
    <row r="357" spans="1:9" s="4" customFormat="1" x14ac:dyDescent="0.25">
      <c r="A357" s="3" t="s">
        <v>11</v>
      </c>
      <c r="B357" s="3" t="s">
        <v>11</v>
      </c>
      <c r="C357" s="3" t="s">
        <v>11</v>
      </c>
      <c r="D357" s="5">
        <f>SUBTOTAL(9, D355:D356)</f>
        <v>0</v>
      </c>
      <c r="E357" s="3" t="s">
        <v>11</v>
      </c>
      <c r="F357" s="5">
        <f>SUBTOTAL(9, F355:F356)</f>
        <v>3000</v>
      </c>
      <c r="G357" s="5">
        <f>SUBTOTAL(9, G355:G356)</f>
        <v>0</v>
      </c>
      <c r="H357" s="5">
        <f>SUBTOTAL(9, H355:H356)</f>
        <v>3000</v>
      </c>
      <c r="I357" s="5">
        <f>IF(F357&lt;&gt;0, ((F357-G357)/F357)*100, 0)</f>
        <v>100</v>
      </c>
    </row>
    <row r="358" spans="1:9" customFormat="1" ht="14.5" x14ac:dyDescent="0.35">
      <c r="D358" s="10"/>
      <c r="F358" s="10"/>
      <c r="G358" s="10"/>
      <c r="H358" s="10"/>
      <c r="I358" s="10"/>
    </row>
    <row r="359" spans="1:9" x14ac:dyDescent="0.25">
      <c r="A359" s="2" t="s">
        <v>188</v>
      </c>
      <c r="B359" s="2" t="s">
        <v>189</v>
      </c>
      <c r="C359" s="2" t="s">
        <v>11</v>
      </c>
      <c r="E359" s="2" t="s">
        <v>11</v>
      </c>
      <c r="F359" s="6">
        <v>5000</v>
      </c>
      <c r="H359" s="6">
        <f>F359-G359</f>
        <v>5000</v>
      </c>
      <c r="I359" s="6">
        <f>IF(F359&lt;&gt;0, ((F359-G359)/F359)*100, 0)</f>
        <v>100</v>
      </c>
    </row>
    <row r="360" spans="1:9" customFormat="1" ht="14.5" x14ac:dyDescent="0.35">
      <c r="D360" s="10"/>
      <c r="F360" s="10"/>
      <c r="G360" s="10"/>
      <c r="H360" s="10"/>
      <c r="I360" s="10"/>
    </row>
    <row r="361" spans="1:9" s="4" customFormat="1" x14ac:dyDescent="0.25">
      <c r="A361" s="3" t="s">
        <v>11</v>
      </c>
      <c r="B361" s="3" t="s">
        <v>11</v>
      </c>
      <c r="C361" s="3" t="s">
        <v>11</v>
      </c>
      <c r="D361" s="5">
        <f>SUBTOTAL(9, D359:D360)</f>
        <v>0</v>
      </c>
      <c r="E361" s="3" t="s">
        <v>11</v>
      </c>
      <c r="F361" s="5">
        <f>SUBTOTAL(9, F359:F360)</f>
        <v>5000</v>
      </c>
      <c r="G361" s="5">
        <f>SUBTOTAL(9, G359:G360)</f>
        <v>0</v>
      </c>
      <c r="H361" s="5">
        <f>SUBTOTAL(9, H359:H360)</f>
        <v>5000</v>
      </c>
      <c r="I361" s="5">
        <f>IF(F361&lt;&gt;0, ((F361-G361)/F361)*100, 0)</f>
        <v>100</v>
      </c>
    </row>
    <row r="362" spans="1:9" customFormat="1" ht="14.5" x14ac:dyDescent="0.35">
      <c r="D362" s="10"/>
      <c r="F362" s="10"/>
      <c r="G362" s="10"/>
      <c r="H362" s="10"/>
      <c r="I362" s="10"/>
    </row>
    <row r="363" spans="1:9" x14ac:dyDescent="0.25">
      <c r="A363" s="2" t="s">
        <v>190</v>
      </c>
      <c r="B363" s="2" t="s">
        <v>191</v>
      </c>
      <c r="C363" s="2" t="s">
        <v>11</v>
      </c>
      <c r="E363" s="2" t="s">
        <v>11</v>
      </c>
      <c r="F363" s="6">
        <v>55000</v>
      </c>
      <c r="H363" s="6">
        <f>F363-G363</f>
        <v>55000</v>
      </c>
      <c r="I363" s="6">
        <f>IF(F363&lt;&gt;0, ((F363-G363)/F363)*100, 0)</f>
        <v>100</v>
      </c>
    </row>
    <row r="364" spans="1:9" customFormat="1" ht="14.5" x14ac:dyDescent="0.35">
      <c r="D364" s="10"/>
      <c r="F364" s="10"/>
      <c r="G364" s="10"/>
      <c r="H364" s="10"/>
      <c r="I364" s="10"/>
    </row>
    <row r="365" spans="1:9" s="4" customFormat="1" x14ac:dyDescent="0.25">
      <c r="A365" s="3" t="s">
        <v>11</v>
      </c>
      <c r="B365" s="3" t="s">
        <v>11</v>
      </c>
      <c r="C365" s="3" t="s">
        <v>11</v>
      </c>
      <c r="D365" s="5">
        <f>SUBTOTAL(9, D363:D364)</f>
        <v>0</v>
      </c>
      <c r="E365" s="3" t="s">
        <v>11</v>
      </c>
      <c r="F365" s="5">
        <f>SUBTOTAL(9, F363:F364)</f>
        <v>55000</v>
      </c>
      <c r="G365" s="5">
        <f>SUBTOTAL(9, G363:G364)</f>
        <v>0</v>
      </c>
      <c r="H365" s="5">
        <f>SUBTOTAL(9, H363:H364)</f>
        <v>55000</v>
      </c>
      <c r="I365" s="5">
        <f>IF(F365&lt;&gt;0, ((F365-G365)/F365)*100, 0)</f>
        <v>100</v>
      </c>
    </row>
    <row r="366" spans="1:9" customFormat="1" ht="14.5" x14ac:dyDescent="0.35">
      <c r="D366" s="10"/>
      <c r="F366" s="10"/>
      <c r="G366" s="10"/>
      <c r="H366" s="10"/>
      <c r="I366" s="10"/>
    </row>
    <row r="367" spans="1:9" x14ac:dyDescent="0.25">
      <c r="A367" s="2" t="s">
        <v>192</v>
      </c>
      <c r="B367" s="2" t="s">
        <v>193</v>
      </c>
      <c r="C367" s="2" t="s">
        <v>11</v>
      </c>
      <c r="E367" s="2" t="s">
        <v>11</v>
      </c>
      <c r="F367" s="6">
        <v>6500</v>
      </c>
      <c r="H367" s="6">
        <f>F367-G367</f>
        <v>6500</v>
      </c>
      <c r="I367" s="6">
        <f>IF(F367&lt;&gt;0, ((F367-G367)/F367)*100, 0)</f>
        <v>100</v>
      </c>
    </row>
    <row r="368" spans="1:9" customFormat="1" ht="14.5" x14ac:dyDescent="0.35">
      <c r="D368" s="10"/>
      <c r="F368" s="10"/>
      <c r="G368" s="10"/>
      <c r="H368" s="10"/>
      <c r="I368" s="10"/>
    </row>
    <row r="369" spans="1:9" s="4" customFormat="1" x14ac:dyDescent="0.25">
      <c r="A369" s="3" t="s">
        <v>11</v>
      </c>
      <c r="B369" s="3" t="s">
        <v>11</v>
      </c>
      <c r="C369" s="3" t="s">
        <v>11</v>
      </c>
      <c r="D369" s="5">
        <f>SUBTOTAL(9, D367:D368)</f>
        <v>0</v>
      </c>
      <c r="E369" s="3" t="s">
        <v>11</v>
      </c>
      <c r="F369" s="5">
        <f>SUBTOTAL(9, F367:F368)</f>
        <v>6500</v>
      </c>
      <c r="G369" s="5">
        <f>SUBTOTAL(9, G367:G368)</f>
        <v>0</v>
      </c>
      <c r="H369" s="5">
        <f>SUBTOTAL(9, H367:H368)</f>
        <v>6500</v>
      </c>
      <c r="I369" s="5">
        <f>IF(F369&lt;&gt;0, ((F369-G369)/F369)*100, 0)</f>
        <v>100</v>
      </c>
    </row>
    <row r="370" spans="1:9" customFormat="1" ht="14.5" x14ac:dyDescent="0.35">
      <c r="D370" s="10"/>
      <c r="F370" s="10"/>
      <c r="G370" s="10"/>
      <c r="H370" s="10"/>
      <c r="I370" s="10"/>
    </row>
    <row r="371" spans="1:9" x14ac:dyDescent="0.25">
      <c r="A371" s="2" t="s">
        <v>194</v>
      </c>
      <c r="B371" s="2" t="s">
        <v>195</v>
      </c>
      <c r="C371" s="2" t="s">
        <v>11</v>
      </c>
      <c r="E371" s="2" t="s">
        <v>11</v>
      </c>
      <c r="F371" s="6">
        <v>10000</v>
      </c>
      <c r="H371" s="6">
        <f>F371-G371</f>
        <v>10000</v>
      </c>
      <c r="I371" s="6">
        <f>IF(F371&lt;&gt;0, ((F371-G371)/F371)*100, 0)</f>
        <v>100</v>
      </c>
    </row>
    <row r="372" spans="1:9" customFormat="1" ht="14.5" x14ac:dyDescent="0.35">
      <c r="D372" s="10"/>
      <c r="F372" s="10"/>
      <c r="G372" s="10"/>
      <c r="H372" s="10"/>
      <c r="I372" s="10"/>
    </row>
    <row r="373" spans="1:9" s="4" customFormat="1" x14ac:dyDescent="0.25">
      <c r="A373" s="3" t="s">
        <v>11</v>
      </c>
      <c r="B373" s="3" t="s">
        <v>11</v>
      </c>
      <c r="C373" s="3" t="s">
        <v>11</v>
      </c>
      <c r="D373" s="5">
        <f>SUBTOTAL(9, D371:D372)</f>
        <v>0</v>
      </c>
      <c r="E373" s="3" t="s">
        <v>11</v>
      </c>
      <c r="F373" s="5">
        <f>SUBTOTAL(9, F371:F372)</f>
        <v>10000</v>
      </c>
      <c r="G373" s="5">
        <f>SUBTOTAL(9, G371:G372)</f>
        <v>0</v>
      </c>
      <c r="H373" s="5">
        <f>SUBTOTAL(9, H371:H372)</f>
        <v>10000</v>
      </c>
      <c r="I373" s="5">
        <f>IF(F373&lt;&gt;0, ((F373-G373)/F373)*100, 0)</f>
        <v>100</v>
      </c>
    </row>
    <row r="374" spans="1:9" customFormat="1" ht="14.5" x14ac:dyDescent="0.35">
      <c r="D374" s="10"/>
      <c r="F374" s="10"/>
      <c r="G374" s="10"/>
      <c r="H374" s="10"/>
      <c r="I374" s="10"/>
    </row>
    <row r="375" spans="1:9" x14ac:dyDescent="0.25">
      <c r="A375" s="2" t="s">
        <v>196</v>
      </c>
      <c r="B375" s="2" t="s">
        <v>197</v>
      </c>
      <c r="C375" s="2" t="s">
        <v>11</v>
      </c>
      <c r="E375" s="2" t="s">
        <v>11</v>
      </c>
      <c r="F375" s="6">
        <v>2000</v>
      </c>
      <c r="H375" s="6">
        <f>F375-G375</f>
        <v>2000</v>
      </c>
      <c r="I375" s="6">
        <f>IF(F375&lt;&gt;0, ((F375-G375)/F375)*100, 0)</f>
        <v>100</v>
      </c>
    </row>
    <row r="376" spans="1:9" customFormat="1" ht="14.5" x14ac:dyDescent="0.35">
      <c r="D376" s="10"/>
      <c r="F376" s="10"/>
      <c r="G376" s="10"/>
      <c r="H376" s="10"/>
      <c r="I376" s="10"/>
    </row>
    <row r="377" spans="1:9" s="4" customFormat="1" x14ac:dyDescent="0.25">
      <c r="A377" s="3" t="s">
        <v>11</v>
      </c>
      <c r="B377" s="3" t="s">
        <v>11</v>
      </c>
      <c r="C377" s="3" t="s">
        <v>11</v>
      </c>
      <c r="D377" s="5">
        <f>SUBTOTAL(9, D375:D376)</f>
        <v>0</v>
      </c>
      <c r="E377" s="3" t="s">
        <v>11</v>
      </c>
      <c r="F377" s="5">
        <f>SUBTOTAL(9, F375:F376)</f>
        <v>2000</v>
      </c>
      <c r="G377" s="5">
        <f>SUBTOTAL(9, G375:G376)</f>
        <v>0</v>
      </c>
      <c r="H377" s="5">
        <f>SUBTOTAL(9, H375:H376)</f>
        <v>2000</v>
      </c>
      <c r="I377" s="5">
        <f>IF(F377&lt;&gt;0, ((F377-G377)/F377)*100, 0)</f>
        <v>100</v>
      </c>
    </row>
    <row r="378" spans="1:9" customFormat="1" ht="14.5" x14ac:dyDescent="0.35">
      <c r="D378" s="10"/>
      <c r="F378" s="10"/>
      <c r="G378" s="10"/>
      <c r="H378" s="10"/>
      <c r="I378" s="10"/>
    </row>
    <row r="379" spans="1:9" x14ac:dyDescent="0.25">
      <c r="A379" s="2" t="s">
        <v>198</v>
      </c>
      <c r="B379" s="2" t="s">
        <v>199</v>
      </c>
      <c r="C379" s="2" t="s">
        <v>11</v>
      </c>
      <c r="E379" s="2" t="s">
        <v>11</v>
      </c>
      <c r="F379" s="6">
        <v>2000</v>
      </c>
      <c r="H379" s="6">
        <f>F379-G379</f>
        <v>2000</v>
      </c>
      <c r="I379" s="6">
        <f>IF(F379&lt;&gt;0, ((F379-G379)/F379)*100, 0)</f>
        <v>100</v>
      </c>
    </row>
    <row r="380" spans="1:9" customFormat="1" ht="14.5" x14ac:dyDescent="0.35">
      <c r="D380" s="10"/>
      <c r="F380" s="10"/>
      <c r="G380" s="10"/>
      <c r="H380" s="10"/>
      <c r="I380" s="10"/>
    </row>
    <row r="381" spans="1:9" s="4" customFormat="1" x14ac:dyDescent="0.25">
      <c r="A381" s="3" t="s">
        <v>11</v>
      </c>
      <c r="B381" s="3" t="s">
        <v>11</v>
      </c>
      <c r="C381" s="3" t="s">
        <v>11</v>
      </c>
      <c r="D381" s="5">
        <f>SUBTOTAL(9, D379:D380)</f>
        <v>0</v>
      </c>
      <c r="E381" s="3" t="s">
        <v>11</v>
      </c>
      <c r="F381" s="5">
        <f>SUBTOTAL(9, F379:F380)</f>
        <v>2000</v>
      </c>
      <c r="G381" s="5">
        <f>SUBTOTAL(9, G379:G380)</f>
        <v>0</v>
      </c>
      <c r="H381" s="5">
        <f>SUBTOTAL(9, H379:H380)</f>
        <v>2000</v>
      </c>
      <c r="I381" s="5">
        <f>IF(F381&lt;&gt;0, ((F381-G381)/F381)*100, 0)</f>
        <v>100</v>
      </c>
    </row>
    <row r="382" spans="1:9" customFormat="1" ht="14.5" x14ac:dyDescent="0.35">
      <c r="D382" s="10"/>
      <c r="F382" s="10"/>
      <c r="G382" s="10"/>
      <c r="H382" s="10"/>
      <c r="I382" s="10"/>
    </row>
    <row r="383" spans="1:9" x14ac:dyDescent="0.25">
      <c r="A383" s="2" t="s">
        <v>200</v>
      </c>
      <c r="B383" s="2" t="s">
        <v>201</v>
      </c>
      <c r="C383" s="2" t="s">
        <v>11</v>
      </c>
      <c r="E383" s="2" t="s">
        <v>11</v>
      </c>
      <c r="F383" s="6">
        <v>4000</v>
      </c>
      <c r="H383" s="6">
        <f>F383-G383</f>
        <v>4000</v>
      </c>
      <c r="I383" s="6">
        <f>IF(F383&lt;&gt;0, ((F383-G383)/F383)*100, 0)</f>
        <v>100</v>
      </c>
    </row>
    <row r="384" spans="1:9" customFormat="1" ht="14.5" x14ac:dyDescent="0.35">
      <c r="D384" s="10"/>
      <c r="F384" s="10"/>
      <c r="G384" s="10"/>
      <c r="H384" s="10"/>
      <c r="I384" s="10"/>
    </row>
    <row r="385" spans="1:9" s="4" customFormat="1" x14ac:dyDescent="0.25">
      <c r="A385" s="3" t="s">
        <v>11</v>
      </c>
      <c r="B385" s="3" t="s">
        <v>11</v>
      </c>
      <c r="C385" s="3" t="s">
        <v>11</v>
      </c>
      <c r="D385" s="5">
        <f>SUBTOTAL(9, D383:D384)</f>
        <v>0</v>
      </c>
      <c r="E385" s="3" t="s">
        <v>11</v>
      </c>
      <c r="F385" s="5">
        <f>SUBTOTAL(9, F383:F384)</f>
        <v>4000</v>
      </c>
      <c r="G385" s="5">
        <f>SUBTOTAL(9, G383:G384)</f>
        <v>0</v>
      </c>
      <c r="H385" s="5">
        <f>SUBTOTAL(9, H383:H384)</f>
        <v>4000</v>
      </c>
      <c r="I385" s="5">
        <f>IF(F385&lt;&gt;0, ((F385-G385)/F385)*100, 0)</f>
        <v>100</v>
      </c>
    </row>
    <row r="386" spans="1:9" customFormat="1" ht="14.5" x14ac:dyDescent="0.35">
      <c r="D386" s="10"/>
      <c r="F386" s="10"/>
      <c r="G386" s="10"/>
      <c r="H386" s="10"/>
      <c r="I386" s="10"/>
    </row>
    <row r="387" spans="1:9" x14ac:dyDescent="0.25">
      <c r="A387" s="2" t="s">
        <v>202</v>
      </c>
      <c r="B387" s="2" t="s">
        <v>203</v>
      </c>
      <c r="C387" s="2" t="s">
        <v>11</v>
      </c>
      <c r="E387" s="2" t="s">
        <v>11</v>
      </c>
      <c r="F387" s="6">
        <v>4000</v>
      </c>
      <c r="H387" s="6">
        <f>F387-G387</f>
        <v>4000</v>
      </c>
      <c r="I387" s="6">
        <f>IF(F387&lt;&gt;0, ((F387-G387)/F387)*100, 0)</f>
        <v>100</v>
      </c>
    </row>
    <row r="388" spans="1:9" customFormat="1" ht="14.5" x14ac:dyDescent="0.35">
      <c r="D388" s="10"/>
      <c r="F388" s="10"/>
      <c r="G388" s="10"/>
      <c r="H388" s="10"/>
      <c r="I388" s="10"/>
    </row>
    <row r="389" spans="1:9" s="4" customFormat="1" x14ac:dyDescent="0.25">
      <c r="A389" s="3" t="s">
        <v>11</v>
      </c>
      <c r="B389" s="3" t="s">
        <v>11</v>
      </c>
      <c r="C389" s="3" t="s">
        <v>11</v>
      </c>
      <c r="D389" s="5">
        <f>SUBTOTAL(9, D387:D388)</f>
        <v>0</v>
      </c>
      <c r="E389" s="3" t="s">
        <v>11</v>
      </c>
      <c r="F389" s="5">
        <f>SUBTOTAL(9, F387:F388)</f>
        <v>4000</v>
      </c>
      <c r="G389" s="5">
        <f>SUBTOTAL(9, G387:G388)</f>
        <v>0</v>
      </c>
      <c r="H389" s="5">
        <f>SUBTOTAL(9, H387:H388)</f>
        <v>4000</v>
      </c>
      <c r="I389" s="5">
        <f>IF(F389&lt;&gt;0, ((F389-G389)/F389)*100, 0)</f>
        <v>100</v>
      </c>
    </row>
    <row r="390" spans="1:9" customFormat="1" ht="14.5" x14ac:dyDescent="0.35">
      <c r="D390" s="10"/>
      <c r="F390" s="10"/>
      <c r="G390" s="10"/>
      <c r="H390" s="10"/>
      <c r="I390" s="10"/>
    </row>
    <row r="391" spans="1:9" x14ac:dyDescent="0.25">
      <c r="A391" s="2" t="s">
        <v>204</v>
      </c>
      <c r="B391" s="2" t="s">
        <v>205</v>
      </c>
      <c r="C391" s="2" t="s">
        <v>11</v>
      </c>
      <c r="E391" s="2" t="s">
        <v>11</v>
      </c>
      <c r="F391" s="6">
        <v>2000</v>
      </c>
      <c r="H391" s="6">
        <f>F391-G391</f>
        <v>2000</v>
      </c>
      <c r="I391" s="6">
        <f>IF(F391&lt;&gt;0, ((F391-G391)/F391)*100, 0)</f>
        <v>100</v>
      </c>
    </row>
    <row r="392" spans="1:9" customFormat="1" ht="14.5" x14ac:dyDescent="0.35">
      <c r="D392" s="10"/>
      <c r="F392" s="10"/>
      <c r="G392" s="10"/>
      <c r="H392" s="10"/>
      <c r="I392" s="10"/>
    </row>
    <row r="393" spans="1:9" s="4" customFormat="1" x14ac:dyDescent="0.25">
      <c r="A393" s="3" t="s">
        <v>11</v>
      </c>
      <c r="B393" s="3" t="s">
        <v>11</v>
      </c>
      <c r="C393" s="3" t="s">
        <v>11</v>
      </c>
      <c r="D393" s="5">
        <f>SUBTOTAL(9, D391:D392)</f>
        <v>0</v>
      </c>
      <c r="E393" s="3" t="s">
        <v>11</v>
      </c>
      <c r="F393" s="5">
        <f>SUBTOTAL(9, F391:F392)</f>
        <v>2000</v>
      </c>
      <c r="G393" s="5">
        <f>SUBTOTAL(9, G391:G392)</f>
        <v>0</v>
      </c>
      <c r="H393" s="5">
        <f>SUBTOTAL(9, H391:H392)</f>
        <v>2000</v>
      </c>
      <c r="I393" s="5">
        <f>IF(F393&lt;&gt;0, ((F393-G393)/F393)*100, 0)</f>
        <v>100</v>
      </c>
    </row>
    <row r="394" spans="1:9" customFormat="1" ht="14.5" x14ac:dyDescent="0.35">
      <c r="D394" s="10"/>
      <c r="F394" s="10"/>
      <c r="G394" s="10"/>
      <c r="H394" s="10"/>
      <c r="I394" s="10"/>
    </row>
    <row r="395" spans="1:9" x14ac:dyDescent="0.25">
      <c r="A395" s="2" t="s">
        <v>206</v>
      </c>
      <c r="B395" s="2" t="s">
        <v>207</v>
      </c>
      <c r="C395" s="2" t="s">
        <v>11</v>
      </c>
      <c r="E395" s="2" t="s">
        <v>11</v>
      </c>
      <c r="F395" s="6">
        <v>7500</v>
      </c>
      <c r="H395" s="6">
        <f>F395-G395</f>
        <v>7500</v>
      </c>
      <c r="I395" s="6">
        <f>IF(F395&lt;&gt;0, ((F395-G395)/F395)*100, 0)</f>
        <v>100</v>
      </c>
    </row>
    <row r="396" spans="1:9" customFormat="1" ht="14.5" x14ac:dyDescent="0.35">
      <c r="D396" s="10"/>
      <c r="F396" s="10"/>
      <c r="G396" s="10"/>
      <c r="H396" s="10"/>
      <c r="I396" s="10"/>
    </row>
    <row r="397" spans="1:9" s="4" customFormat="1" x14ac:dyDescent="0.25">
      <c r="A397" s="3" t="s">
        <v>11</v>
      </c>
      <c r="B397" s="3" t="s">
        <v>11</v>
      </c>
      <c r="C397" s="3" t="s">
        <v>11</v>
      </c>
      <c r="D397" s="5">
        <f>SUBTOTAL(9, D395:D396)</f>
        <v>0</v>
      </c>
      <c r="E397" s="3" t="s">
        <v>11</v>
      </c>
      <c r="F397" s="5">
        <f>SUBTOTAL(9, F395:F396)</f>
        <v>7500</v>
      </c>
      <c r="G397" s="5">
        <f>SUBTOTAL(9, G395:G396)</f>
        <v>0</v>
      </c>
      <c r="H397" s="5">
        <f>SUBTOTAL(9, H395:H396)</f>
        <v>7500</v>
      </c>
      <c r="I397" s="5">
        <f>IF(F397&lt;&gt;0, ((F397-G397)/F397)*100, 0)</f>
        <v>100</v>
      </c>
    </row>
    <row r="398" spans="1:9" customFormat="1" ht="14.5" x14ac:dyDescent="0.35">
      <c r="D398" s="10"/>
      <c r="F398" s="10"/>
      <c r="G398" s="10"/>
      <c r="H398" s="10"/>
      <c r="I398" s="10"/>
    </row>
    <row r="399" spans="1:9" x14ac:dyDescent="0.25">
      <c r="A399" s="2" t="s">
        <v>208</v>
      </c>
      <c r="B399" s="2" t="s">
        <v>209</v>
      </c>
      <c r="C399" s="2" t="s">
        <v>11</v>
      </c>
      <c r="E399" s="2" t="s">
        <v>11</v>
      </c>
      <c r="F399" s="6">
        <v>3500</v>
      </c>
      <c r="H399" s="6">
        <f>F399-G399</f>
        <v>3500</v>
      </c>
      <c r="I399" s="6">
        <f>IF(F399&lt;&gt;0, ((F399-G399)/F399)*100, 0)</f>
        <v>100</v>
      </c>
    </row>
    <row r="400" spans="1:9" customFormat="1" ht="14.5" x14ac:dyDescent="0.35">
      <c r="D400" s="10"/>
      <c r="F400" s="10"/>
      <c r="G400" s="10"/>
      <c r="H400" s="10"/>
      <c r="I400" s="10"/>
    </row>
    <row r="401" spans="1:9" s="4" customFormat="1" x14ac:dyDescent="0.25">
      <c r="A401" s="3" t="s">
        <v>11</v>
      </c>
      <c r="B401" s="3" t="s">
        <v>11</v>
      </c>
      <c r="C401" s="3" t="s">
        <v>11</v>
      </c>
      <c r="D401" s="5">
        <f>SUBTOTAL(9, D399:D400)</f>
        <v>0</v>
      </c>
      <c r="E401" s="3" t="s">
        <v>11</v>
      </c>
      <c r="F401" s="5">
        <f>SUBTOTAL(9, F399:F400)</f>
        <v>3500</v>
      </c>
      <c r="G401" s="5">
        <f>SUBTOTAL(9, G399:G400)</f>
        <v>0</v>
      </c>
      <c r="H401" s="5">
        <f>SUBTOTAL(9, H399:H400)</f>
        <v>3500</v>
      </c>
      <c r="I401" s="5">
        <f>IF(F401&lt;&gt;0, ((F401-G401)/F401)*100, 0)</f>
        <v>100</v>
      </c>
    </row>
    <row r="402" spans="1:9" customFormat="1" ht="14.5" x14ac:dyDescent="0.35">
      <c r="D402" s="10"/>
      <c r="F402" s="10"/>
      <c r="G402" s="10"/>
      <c r="H402" s="10"/>
      <c r="I402" s="10"/>
    </row>
    <row r="403" spans="1:9" x14ac:dyDescent="0.25">
      <c r="A403" s="2" t="s">
        <v>210</v>
      </c>
      <c r="B403" s="2" t="s">
        <v>211</v>
      </c>
      <c r="C403" s="2" t="s">
        <v>11</v>
      </c>
      <c r="E403" s="2" t="s">
        <v>11</v>
      </c>
      <c r="F403" s="6">
        <v>1000</v>
      </c>
      <c r="H403" s="6">
        <f>F403-G403</f>
        <v>1000</v>
      </c>
      <c r="I403" s="6">
        <f>IF(F403&lt;&gt;0, ((F403-G403)/F403)*100, 0)</f>
        <v>100</v>
      </c>
    </row>
    <row r="404" spans="1:9" customFormat="1" ht="14.5" x14ac:dyDescent="0.35">
      <c r="D404" s="10"/>
      <c r="F404" s="10"/>
      <c r="G404" s="10"/>
      <c r="H404" s="10"/>
      <c r="I404" s="10"/>
    </row>
    <row r="405" spans="1:9" s="4" customFormat="1" x14ac:dyDescent="0.25">
      <c r="A405" s="3" t="s">
        <v>11</v>
      </c>
      <c r="B405" s="3" t="s">
        <v>11</v>
      </c>
      <c r="C405" s="3" t="s">
        <v>11</v>
      </c>
      <c r="D405" s="5">
        <f>SUBTOTAL(9, D403:D404)</f>
        <v>0</v>
      </c>
      <c r="E405" s="3" t="s">
        <v>11</v>
      </c>
      <c r="F405" s="5">
        <f>SUBTOTAL(9, F403:F404)</f>
        <v>1000</v>
      </c>
      <c r="G405" s="5">
        <f>SUBTOTAL(9, G403:G404)</f>
        <v>0</v>
      </c>
      <c r="H405" s="5">
        <f>SUBTOTAL(9, H403:H404)</f>
        <v>1000</v>
      </c>
      <c r="I405" s="5">
        <f>IF(F405&lt;&gt;0, ((F405-G405)/F405)*100, 0)</f>
        <v>100</v>
      </c>
    </row>
    <row r="406" spans="1:9" customFormat="1" ht="14.5" x14ac:dyDescent="0.35">
      <c r="D406" s="10"/>
      <c r="F406" s="10"/>
      <c r="G406" s="10"/>
      <c r="H406" s="10"/>
      <c r="I406" s="10"/>
    </row>
    <row r="407" spans="1:9" x14ac:dyDescent="0.25">
      <c r="A407" s="2" t="s">
        <v>212</v>
      </c>
      <c r="B407" s="2" t="s">
        <v>213</v>
      </c>
      <c r="C407" s="2" t="s">
        <v>11</v>
      </c>
      <c r="E407" s="2" t="s">
        <v>11</v>
      </c>
      <c r="F407" s="6">
        <v>500</v>
      </c>
      <c r="H407" s="6">
        <f>F407-G407</f>
        <v>500</v>
      </c>
      <c r="I407" s="6">
        <f>IF(F407&lt;&gt;0, ((F407-G407)/F407)*100, 0)</f>
        <v>100</v>
      </c>
    </row>
    <row r="408" spans="1:9" customFormat="1" ht="14.5" x14ac:dyDescent="0.35">
      <c r="D408" s="10"/>
      <c r="F408" s="10"/>
      <c r="G408" s="10"/>
      <c r="H408" s="10"/>
      <c r="I408" s="10"/>
    </row>
    <row r="409" spans="1:9" s="4" customFormat="1" x14ac:dyDescent="0.25">
      <c r="A409" s="3" t="s">
        <v>11</v>
      </c>
      <c r="B409" s="3" t="s">
        <v>11</v>
      </c>
      <c r="C409" s="3" t="s">
        <v>11</v>
      </c>
      <c r="D409" s="5">
        <f>SUBTOTAL(9, D407:D408)</f>
        <v>0</v>
      </c>
      <c r="E409" s="3" t="s">
        <v>11</v>
      </c>
      <c r="F409" s="5">
        <f>SUBTOTAL(9, F407:F408)</f>
        <v>500</v>
      </c>
      <c r="G409" s="5">
        <f>SUBTOTAL(9, G407:G408)</f>
        <v>0</v>
      </c>
      <c r="H409" s="5">
        <f>SUBTOTAL(9, H407:H408)</f>
        <v>500</v>
      </c>
      <c r="I409" s="5">
        <f>IF(F409&lt;&gt;0, ((F409-G409)/F409)*100, 0)</f>
        <v>100</v>
      </c>
    </row>
    <row r="410" spans="1:9" customFormat="1" ht="14.5" x14ac:dyDescent="0.35">
      <c r="D410" s="10"/>
      <c r="F410" s="10"/>
      <c r="G410" s="10"/>
      <c r="H410" s="10"/>
      <c r="I410" s="10"/>
    </row>
    <row r="411" spans="1:9" x14ac:dyDescent="0.25">
      <c r="A411" s="2" t="s">
        <v>214</v>
      </c>
      <c r="B411" s="2" t="s">
        <v>215</v>
      </c>
      <c r="C411" s="2" t="s">
        <v>11</v>
      </c>
      <c r="E411" s="2" t="s">
        <v>11</v>
      </c>
      <c r="F411" s="6">
        <v>11000</v>
      </c>
      <c r="H411" s="6">
        <f>F411-G411</f>
        <v>11000</v>
      </c>
      <c r="I411" s="6">
        <f>IF(F411&lt;&gt;0, ((F411-G411)/F411)*100, 0)</f>
        <v>100</v>
      </c>
    </row>
    <row r="412" spans="1:9" customFormat="1" ht="14.5" x14ac:dyDescent="0.35">
      <c r="D412" s="10"/>
      <c r="F412" s="10"/>
      <c r="G412" s="10"/>
      <c r="H412" s="10"/>
      <c r="I412" s="10"/>
    </row>
    <row r="413" spans="1:9" s="4" customFormat="1" x14ac:dyDescent="0.25">
      <c r="A413" s="3" t="s">
        <v>11</v>
      </c>
      <c r="B413" s="3" t="s">
        <v>11</v>
      </c>
      <c r="C413" s="3" t="s">
        <v>11</v>
      </c>
      <c r="D413" s="5">
        <f>SUBTOTAL(9, D411:D412)</f>
        <v>0</v>
      </c>
      <c r="E413" s="3" t="s">
        <v>11</v>
      </c>
      <c r="F413" s="5">
        <f>SUBTOTAL(9, F411:F412)</f>
        <v>11000</v>
      </c>
      <c r="G413" s="5">
        <f>SUBTOTAL(9, G411:G412)</f>
        <v>0</v>
      </c>
      <c r="H413" s="5">
        <f>SUBTOTAL(9, H411:H412)</f>
        <v>11000</v>
      </c>
      <c r="I413" s="5">
        <f>IF(F413&lt;&gt;0, ((F413-G413)/F413)*100, 0)</f>
        <v>100</v>
      </c>
    </row>
    <row r="414" spans="1:9" customFormat="1" ht="14.5" x14ac:dyDescent="0.35">
      <c r="D414" s="10"/>
      <c r="F414" s="10"/>
      <c r="G414" s="10"/>
      <c r="H414" s="10"/>
      <c r="I414" s="10"/>
    </row>
    <row r="415" spans="1:9" x14ac:dyDescent="0.25">
      <c r="A415" s="2" t="s">
        <v>216</v>
      </c>
      <c r="B415" s="2" t="s">
        <v>217</v>
      </c>
      <c r="C415" s="2" t="s">
        <v>11</v>
      </c>
      <c r="E415" s="2" t="s">
        <v>11</v>
      </c>
      <c r="F415" s="6">
        <v>1000</v>
      </c>
      <c r="H415" s="6">
        <f>F415-G415</f>
        <v>1000</v>
      </c>
      <c r="I415" s="6">
        <f>IF(F415&lt;&gt;0, ((F415-G415)/F415)*100, 0)</f>
        <v>100</v>
      </c>
    </row>
    <row r="416" spans="1:9" customFormat="1" ht="14.5" x14ac:dyDescent="0.35">
      <c r="D416" s="10"/>
      <c r="F416" s="10"/>
      <c r="G416" s="10"/>
      <c r="H416" s="10"/>
      <c r="I416" s="10"/>
    </row>
    <row r="417" spans="1:9" s="4" customFormat="1" x14ac:dyDescent="0.25">
      <c r="A417" s="3" t="s">
        <v>11</v>
      </c>
      <c r="B417" s="3" t="s">
        <v>11</v>
      </c>
      <c r="C417" s="3" t="s">
        <v>11</v>
      </c>
      <c r="D417" s="5">
        <f>SUBTOTAL(9, D415:D416)</f>
        <v>0</v>
      </c>
      <c r="E417" s="3" t="s">
        <v>11</v>
      </c>
      <c r="F417" s="5">
        <f>SUBTOTAL(9, F415:F416)</f>
        <v>1000</v>
      </c>
      <c r="G417" s="5">
        <f>SUBTOTAL(9, G415:G416)</f>
        <v>0</v>
      </c>
      <c r="H417" s="5">
        <f>SUBTOTAL(9, H415:H416)</f>
        <v>1000</v>
      </c>
      <c r="I417" s="5">
        <f>IF(F417&lt;&gt;0, ((F417-G417)/F417)*100, 0)</f>
        <v>100</v>
      </c>
    </row>
    <row r="418" spans="1:9" customFormat="1" ht="14.5" x14ac:dyDescent="0.35">
      <c r="D418" s="10"/>
      <c r="F418" s="10"/>
      <c r="G418" s="10"/>
      <c r="H418" s="10"/>
      <c r="I418" s="10"/>
    </row>
    <row r="419" spans="1:9" x14ac:dyDescent="0.25">
      <c r="A419" s="2" t="s">
        <v>218</v>
      </c>
      <c r="B419" s="2" t="s">
        <v>219</v>
      </c>
      <c r="C419" s="2" t="s">
        <v>11</v>
      </c>
      <c r="E419" s="2" t="s">
        <v>11</v>
      </c>
      <c r="F419" s="6">
        <v>10000</v>
      </c>
      <c r="H419" s="6">
        <f>F419-G419</f>
        <v>10000</v>
      </c>
      <c r="I419" s="6">
        <f>IF(F419&lt;&gt;0, ((F419-G419)/F419)*100, 0)</f>
        <v>100</v>
      </c>
    </row>
    <row r="420" spans="1:9" customFormat="1" ht="14.5" x14ac:dyDescent="0.35">
      <c r="D420" s="10"/>
      <c r="F420" s="10"/>
      <c r="G420" s="10"/>
      <c r="H420" s="10"/>
      <c r="I420" s="10"/>
    </row>
    <row r="421" spans="1:9" s="4" customFormat="1" x14ac:dyDescent="0.25">
      <c r="A421" s="3" t="s">
        <v>11</v>
      </c>
      <c r="B421" s="3" t="s">
        <v>11</v>
      </c>
      <c r="C421" s="3" t="s">
        <v>11</v>
      </c>
      <c r="D421" s="5">
        <f>SUBTOTAL(9, D419:D420)</f>
        <v>0</v>
      </c>
      <c r="E421" s="3" t="s">
        <v>11</v>
      </c>
      <c r="F421" s="5">
        <f>SUBTOTAL(9, F419:F420)</f>
        <v>10000</v>
      </c>
      <c r="G421" s="5">
        <f>SUBTOTAL(9, G419:G420)</f>
        <v>0</v>
      </c>
      <c r="H421" s="5">
        <f>SUBTOTAL(9, H419:H420)</f>
        <v>10000</v>
      </c>
      <c r="I421" s="5">
        <f>IF(F421&lt;&gt;0, ((F421-G421)/F421)*100, 0)</f>
        <v>100</v>
      </c>
    </row>
    <row r="422" spans="1:9" customFormat="1" ht="14.5" x14ac:dyDescent="0.35">
      <c r="D422" s="10"/>
      <c r="F422" s="10"/>
      <c r="G422" s="10"/>
      <c r="H422" s="10"/>
      <c r="I422" s="10"/>
    </row>
    <row r="423" spans="1:9" x14ac:dyDescent="0.25">
      <c r="A423" s="2" t="s">
        <v>220</v>
      </c>
      <c r="B423" s="2" t="s">
        <v>221</v>
      </c>
      <c r="C423" s="2" t="s">
        <v>11</v>
      </c>
      <c r="E423" s="2" t="s">
        <v>11</v>
      </c>
      <c r="F423" s="6">
        <v>4000</v>
      </c>
      <c r="H423" s="6">
        <f>F423-G423</f>
        <v>4000</v>
      </c>
      <c r="I423" s="6">
        <f>IF(F423&lt;&gt;0, ((F423-G423)/F423)*100, 0)</f>
        <v>100</v>
      </c>
    </row>
    <row r="424" spans="1:9" customFormat="1" ht="14.5" x14ac:dyDescent="0.35">
      <c r="D424" s="10"/>
      <c r="F424" s="10"/>
      <c r="G424" s="10"/>
      <c r="H424" s="10"/>
      <c r="I424" s="10"/>
    </row>
    <row r="425" spans="1:9" s="4" customFormat="1" x14ac:dyDescent="0.25">
      <c r="A425" s="3" t="s">
        <v>11</v>
      </c>
      <c r="B425" s="3" t="s">
        <v>11</v>
      </c>
      <c r="C425" s="3" t="s">
        <v>11</v>
      </c>
      <c r="D425" s="5">
        <f>SUBTOTAL(9, D423:D424)</f>
        <v>0</v>
      </c>
      <c r="E425" s="3" t="s">
        <v>11</v>
      </c>
      <c r="F425" s="5">
        <f>SUBTOTAL(9, F423:F424)</f>
        <v>4000</v>
      </c>
      <c r="G425" s="5">
        <f>SUBTOTAL(9, G423:G424)</f>
        <v>0</v>
      </c>
      <c r="H425" s="5">
        <f>SUBTOTAL(9, H423:H424)</f>
        <v>4000</v>
      </c>
      <c r="I425" s="5">
        <f>IF(F425&lt;&gt;0, ((F425-G425)/F425)*100, 0)</f>
        <v>100</v>
      </c>
    </row>
    <row r="426" spans="1:9" customFormat="1" ht="14.5" x14ac:dyDescent="0.35">
      <c r="D426" s="10"/>
      <c r="F426" s="10"/>
      <c r="G426" s="10"/>
      <c r="H426" s="10"/>
      <c r="I426" s="10"/>
    </row>
    <row r="427" spans="1:9" x14ac:dyDescent="0.25">
      <c r="A427" s="2" t="s">
        <v>222</v>
      </c>
      <c r="B427" s="2" t="s">
        <v>223</v>
      </c>
      <c r="C427" s="2" t="s">
        <v>11</v>
      </c>
      <c r="E427" s="2" t="s">
        <v>11</v>
      </c>
      <c r="F427" s="6">
        <v>2000</v>
      </c>
      <c r="H427" s="6">
        <f>F427-G427</f>
        <v>2000</v>
      </c>
      <c r="I427" s="6">
        <f>IF(F427&lt;&gt;0, ((F427-G427)/F427)*100, 0)</f>
        <v>100</v>
      </c>
    </row>
    <row r="428" spans="1:9" customFormat="1" ht="14.5" x14ac:dyDescent="0.35">
      <c r="D428" s="10"/>
      <c r="F428" s="10"/>
      <c r="G428" s="10"/>
      <c r="H428" s="10"/>
      <c r="I428" s="10"/>
    </row>
    <row r="429" spans="1:9" s="4" customFormat="1" x14ac:dyDescent="0.25">
      <c r="A429" s="3" t="s">
        <v>11</v>
      </c>
      <c r="B429" s="3" t="s">
        <v>11</v>
      </c>
      <c r="C429" s="3" t="s">
        <v>11</v>
      </c>
      <c r="D429" s="5">
        <f>SUBTOTAL(9, D427:D428)</f>
        <v>0</v>
      </c>
      <c r="E429" s="3" t="s">
        <v>11</v>
      </c>
      <c r="F429" s="5">
        <f>SUBTOTAL(9, F427:F428)</f>
        <v>2000</v>
      </c>
      <c r="G429" s="5">
        <f>SUBTOTAL(9, G427:G428)</f>
        <v>0</v>
      </c>
      <c r="H429" s="5">
        <f>SUBTOTAL(9, H427:H428)</f>
        <v>2000</v>
      </c>
      <c r="I429" s="5">
        <f>IF(F429&lt;&gt;0, ((F429-G429)/F429)*100, 0)</f>
        <v>100</v>
      </c>
    </row>
    <row r="430" spans="1:9" customFormat="1" ht="14.5" x14ac:dyDescent="0.35">
      <c r="D430" s="10"/>
      <c r="F430" s="10"/>
      <c r="G430" s="10"/>
      <c r="H430" s="10"/>
      <c r="I430" s="10"/>
    </row>
    <row r="431" spans="1:9" x14ac:dyDescent="0.25">
      <c r="A431" s="2" t="s">
        <v>224</v>
      </c>
      <c r="B431" s="2" t="s">
        <v>225</v>
      </c>
      <c r="C431" s="2" t="s">
        <v>11</v>
      </c>
      <c r="E431" s="2" t="s">
        <v>11</v>
      </c>
      <c r="F431" s="6">
        <v>2000</v>
      </c>
      <c r="H431" s="6">
        <f>F431-G431</f>
        <v>2000</v>
      </c>
      <c r="I431" s="6">
        <f>IF(F431&lt;&gt;0, ((F431-G431)/F431)*100, 0)</f>
        <v>100</v>
      </c>
    </row>
    <row r="432" spans="1:9" customFormat="1" ht="14.5" x14ac:dyDescent="0.35">
      <c r="D432" s="10"/>
      <c r="F432" s="10"/>
      <c r="G432" s="10"/>
      <c r="H432" s="10"/>
      <c r="I432" s="10"/>
    </row>
    <row r="433" spans="1:9" s="4" customFormat="1" x14ac:dyDescent="0.25">
      <c r="A433" s="3" t="s">
        <v>11</v>
      </c>
      <c r="B433" s="3" t="s">
        <v>11</v>
      </c>
      <c r="C433" s="3" t="s">
        <v>11</v>
      </c>
      <c r="D433" s="5">
        <f>SUBTOTAL(9, D431:D432)</f>
        <v>0</v>
      </c>
      <c r="E433" s="3" t="s">
        <v>11</v>
      </c>
      <c r="F433" s="5">
        <f>SUBTOTAL(9, F431:F432)</f>
        <v>2000</v>
      </c>
      <c r="G433" s="5">
        <f>SUBTOTAL(9, G431:G432)</f>
        <v>0</v>
      </c>
      <c r="H433" s="5">
        <f>SUBTOTAL(9, H431:H432)</f>
        <v>2000</v>
      </c>
      <c r="I433" s="5">
        <f>IF(F433&lt;&gt;0, ((F433-G433)/F433)*100, 0)</f>
        <v>100</v>
      </c>
    </row>
    <row r="434" spans="1:9" customFormat="1" ht="14.5" x14ac:dyDescent="0.35">
      <c r="D434" s="10"/>
      <c r="F434" s="10"/>
      <c r="G434" s="10"/>
      <c r="H434" s="10"/>
      <c r="I434" s="10"/>
    </row>
    <row r="435" spans="1:9" x14ac:dyDescent="0.25">
      <c r="A435" s="2" t="s">
        <v>226</v>
      </c>
      <c r="B435" s="2" t="s">
        <v>227</v>
      </c>
      <c r="C435" s="2" t="s">
        <v>11</v>
      </c>
      <c r="E435" s="2" t="s">
        <v>11</v>
      </c>
      <c r="F435" s="6">
        <v>1000</v>
      </c>
      <c r="H435" s="6">
        <f>F435-G435</f>
        <v>1000</v>
      </c>
      <c r="I435" s="6">
        <f>IF(F435&lt;&gt;0, ((F435-G435)/F435)*100, 0)</f>
        <v>100</v>
      </c>
    </row>
    <row r="436" spans="1:9" customFormat="1" ht="14.5" x14ac:dyDescent="0.35">
      <c r="D436" s="10"/>
      <c r="F436" s="10"/>
      <c r="G436" s="10"/>
      <c r="H436" s="10"/>
      <c r="I436" s="10"/>
    </row>
    <row r="437" spans="1:9" s="4" customFormat="1" x14ac:dyDescent="0.25">
      <c r="A437" s="3" t="s">
        <v>11</v>
      </c>
      <c r="B437" s="3" t="s">
        <v>11</v>
      </c>
      <c r="C437" s="3" t="s">
        <v>11</v>
      </c>
      <c r="D437" s="5">
        <f>SUBTOTAL(9, D435:D436)</f>
        <v>0</v>
      </c>
      <c r="E437" s="3" t="s">
        <v>11</v>
      </c>
      <c r="F437" s="5">
        <f>SUBTOTAL(9, F435:F436)</f>
        <v>1000</v>
      </c>
      <c r="G437" s="5">
        <f>SUBTOTAL(9, G435:G436)</f>
        <v>0</v>
      </c>
      <c r="H437" s="5">
        <f>SUBTOTAL(9, H435:H436)</f>
        <v>1000</v>
      </c>
      <c r="I437" s="5">
        <f>IF(F437&lt;&gt;0, ((F437-G437)/F437)*100, 0)</f>
        <v>100</v>
      </c>
    </row>
    <row r="438" spans="1:9" customFormat="1" ht="14.5" x14ac:dyDescent="0.35">
      <c r="D438" s="10"/>
      <c r="F438" s="10"/>
      <c r="G438" s="10"/>
      <c r="H438" s="10"/>
      <c r="I438" s="10"/>
    </row>
    <row r="439" spans="1:9" x14ac:dyDescent="0.25">
      <c r="A439" s="2" t="s">
        <v>228</v>
      </c>
      <c r="B439" s="2" t="s">
        <v>229</v>
      </c>
      <c r="C439" s="2" t="s">
        <v>11</v>
      </c>
      <c r="E439" s="2" t="s">
        <v>11</v>
      </c>
      <c r="F439" s="6">
        <v>1000</v>
      </c>
      <c r="H439" s="6">
        <f>F439-G439</f>
        <v>1000</v>
      </c>
      <c r="I439" s="6">
        <f>IF(F439&lt;&gt;0, ((F439-G439)/F439)*100, 0)</f>
        <v>100</v>
      </c>
    </row>
    <row r="440" spans="1:9" customFormat="1" ht="14.5" x14ac:dyDescent="0.35">
      <c r="D440" s="10"/>
      <c r="F440" s="10"/>
      <c r="G440" s="10"/>
      <c r="H440" s="10"/>
      <c r="I440" s="10"/>
    </row>
    <row r="441" spans="1:9" s="4" customFormat="1" x14ac:dyDescent="0.25">
      <c r="A441" s="3" t="s">
        <v>11</v>
      </c>
      <c r="B441" s="3" t="s">
        <v>11</v>
      </c>
      <c r="C441" s="3" t="s">
        <v>11</v>
      </c>
      <c r="D441" s="5">
        <f>SUBTOTAL(9, D439:D440)</f>
        <v>0</v>
      </c>
      <c r="E441" s="3" t="s">
        <v>11</v>
      </c>
      <c r="F441" s="5">
        <f>SUBTOTAL(9, F439:F440)</f>
        <v>1000</v>
      </c>
      <c r="G441" s="5">
        <f>SUBTOTAL(9, G439:G440)</f>
        <v>0</v>
      </c>
      <c r="H441" s="5">
        <f>SUBTOTAL(9, H439:H440)</f>
        <v>1000</v>
      </c>
      <c r="I441" s="5">
        <f>IF(F441&lt;&gt;0, ((F441-G441)/F441)*100, 0)</f>
        <v>100</v>
      </c>
    </row>
    <row r="442" spans="1:9" customFormat="1" ht="14.5" x14ac:dyDescent="0.35">
      <c r="D442" s="10"/>
      <c r="F442" s="10"/>
      <c r="G442" s="10"/>
      <c r="H442" s="10"/>
      <c r="I442" s="10"/>
    </row>
    <row r="443" spans="1:9" x14ac:dyDescent="0.25">
      <c r="A443" s="2" t="s">
        <v>230</v>
      </c>
      <c r="B443" s="2" t="s">
        <v>231</v>
      </c>
      <c r="C443" s="2" t="s">
        <v>11</v>
      </c>
      <c r="E443" s="2" t="s">
        <v>11</v>
      </c>
      <c r="F443" s="6">
        <v>1000</v>
      </c>
      <c r="H443" s="6">
        <f>F443-G443</f>
        <v>1000</v>
      </c>
      <c r="I443" s="6">
        <f>IF(F443&lt;&gt;0, ((F443-G443)/F443)*100, 0)</f>
        <v>100</v>
      </c>
    </row>
    <row r="444" spans="1:9" customFormat="1" ht="14.5" x14ac:dyDescent="0.35">
      <c r="D444" s="10"/>
      <c r="F444" s="10"/>
      <c r="G444" s="10"/>
      <c r="H444" s="10"/>
      <c r="I444" s="10"/>
    </row>
    <row r="445" spans="1:9" s="4" customFormat="1" x14ac:dyDescent="0.25">
      <c r="A445" s="3" t="s">
        <v>11</v>
      </c>
      <c r="B445" s="3" t="s">
        <v>11</v>
      </c>
      <c r="C445" s="3" t="s">
        <v>11</v>
      </c>
      <c r="D445" s="5">
        <f>SUBTOTAL(9, D443:D444)</f>
        <v>0</v>
      </c>
      <c r="E445" s="3" t="s">
        <v>11</v>
      </c>
      <c r="F445" s="5">
        <f>SUBTOTAL(9, F443:F444)</f>
        <v>1000</v>
      </c>
      <c r="G445" s="5">
        <f>SUBTOTAL(9, G443:G444)</f>
        <v>0</v>
      </c>
      <c r="H445" s="5">
        <f>SUBTOTAL(9, H443:H444)</f>
        <v>1000</v>
      </c>
      <c r="I445" s="5">
        <f>IF(F445&lt;&gt;0, ((F445-G445)/F445)*100, 0)</f>
        <v>100</v>
      </c>
    </row>
    <row r="446" spans="1:9" customFormat="1" ht="14.5" x14ac:dyDescent="0.35">
      <c r="D446" s="10"/>
      <c r="F446" s="10"/>
      <c r="G446" s="10"/>
      <c r="H446" s="10"/>
      <c r="I446" s="10"/>
    </row>
    <row r="447" spans="1:9" x14ac:dyDescent="0.25">
      <c r="A447" s="2" t="s">
        <v>232</v>
      </c>
      <c r="B447" s="2" t="s">
        <v>233</v>
      </c>
      <c r="C447" s="2" t="s">
        <v>11</v>
      </c>
      <c r="E447" s="2" t="s">
        <v>11</v>
      </c>
      <c r="F447" s="6">
        <v>4500</v>
      </c>
      <c r="H447" s="6">
        <f>F447-G447</f>
        <v>4500</v>
      </c>
      <c r="I447" s="6">
        <f>IF(F447&lt;&gt;0, ((F447-G447)/F447)*100, 0)</f>
        <v>100</v>
      </c>
    </row>
    <row r="448" spans="1:9" customFormat="1" ht="14.5" x14ac:dyDescent="0.35">
      <c r="D448" s="10"/>
      <c r="F448" s="10"/>
      <c r="G448" s="10"/>
      <c r="H448" s="10"/>
      <c r="I448" s="10"/>
    </row>
    <row r="449" spans="1:9" s="4" customFormat="1" x14ac:dyDescent="0.25">
      <c r="A449" s="3" t="s">
        <v>11</v>
      </c>
      <c r="B449" s="3" t="s">
        <v>11</v>
      </c>
      <c r="C449" s="3" t="s">
        <v>11</v>
      </c>
      <c r="D449" s="5">
        <f>SUBTOTAL(9, D447:D448)</f>
        <v>0</v>
      </c>
      <c r="E449" s="3" t="s">
        <v>11</v>
      </c>
      <c r="F449" s="5">
        <f>SUBTOTAL(9, F447:F448)</f>
        <v>4500</v>
      </c>
      <c r="G449" s="5">
        <f>SUBTOTAL(9, G447:G448)</f>
        <v>0</v>
      </c>
      <c r="H449" s="5">
        <f>SUBTOTAL(9, H447:H448)</f>
        <v>4500</v>
      </c>
      <c r="I449" s="5">
        <f>IF(F449&lt;&gt;0, ((F449-G449)/F449)*100, 0)</f>
        <v>100</v>
      </c>
    </row>
    <row r="450" spans="1:9" customFormat="1" ht="14.5" x14ac:dyDescent="0.35">
      <c r="D450" s="10"/>
      <c r="F450" s="10"/>
      <c r="G450" s="10"/>
      <c r="H450" s="10"/>
      <c r="I450" s="10"/>
    </row>
    <row r="451" spans="1:9" x14ac:dyDescent="0.25">
      <c r="A451" s="2" t="s">
        <v>234</v>
      </c>
      <c r="B451" s="2" t="s">
        <v>235</v>
      </c>
      <c r="C451" s="2" t="s">
        <v>11</v>
      </c>
      <c r="E451" s="2" t="s">
        <v>11</v>
      </c>
      <c r="F451" s="6">
        <v>27000</v>
      </c>
      <c r="H451" s="6">
        <f>F451-G451</f>
        <v>27000</v>
      </c>
      <c r="I451" s="6">
        <f>IF(F451&lt;&gt;0, ((F451-G451)/F451)*100, 0)</f>
        <v>100</v>
      </c>
    </row>
    <row r="452" spans="1:9" customFormat="1" ht="14.5" x14ac:dyDescent="0.35">
      <c r="D452" s="10"/>
      <c r="F452" s="10"/>
      <c r="G452" s="10"/>
      <c r="H452" s="10"/>
      <c r="I452" s="10"/>
    </row>
    <row r="453" spans="1:9" s="4" customFormat="1" x14ac:dyDescent="0.25">
      <c r="A453" s="3" t="s">
        <v>11</v>
      </c>
      <c r="B453" s="3" t="s">
        <v>11</v>
      </c>
      <c r="C453" s="3" t="s">
        <v>11</v>
      </c>
      <c r="D453" s="5">
        <f>SUBTOTAL(9, D451:D452)</f>
        <v>0</v>
      </c>
      <c r="E453" s="3" t="s">
        <v>11</v>
      </c>
      <c r="F453" s="5">
        <f>SUBTOTAL(9, F451:F452)</f>
        <v>27000</v>
      </c>
      <c r="G453" s="5">
        <f>SUBTOTAL(9, G451:G452)</f>
        <v>0</v>
      </c>
      <c r="H453" s="5">
        <f>SUBTOTAL(9, H451:H452)</f>
        <v>27000</v>
      </c>
      <c r="I453" s="5">
        <f>IF(F453&lt;&gt;0, ((F453-G453)/F453)*100, 0)</f>
        <v>100</v>
      </c>
    </row>
    <row r="454" spans="1:9" customFormat="1" ht="14.5" x14ac:dyDescent="0.35">
      <c r="D454" s="10"/>
      <c r="F454" s="10"/>
      <c r="G454" s="10"/>
      <c r="H454" s="10"/>
      <c r="I454" s="10"/>
    </row>
    <row r="455" spans="1:9" x14ac:dyDescent="0.25">
      <c r="A455" s="2" t="s">
        <v>236</v>
      </c>
      <c r="B455" s="2" t="s">
        <v>237</v>
      </c>
      <c r="C455" s="2" t="s">
        <v>11</v>
      </c>
      <c r="E455" s="2" t="s">
        <v>11</v>
      </c>
      <c r="F455" s="6">
        <v>5000</v>
      </c>
      <c r="H455" s="6">
        <f>F455-G455</f>
        <v>5000</v>
      </c>
      <c r="I455" s="6">
        <f>IF(F455&lt;&gt;0, ((F455-G455)/F455)*100, 0)</f>
        <v>100</v>
      </c>
    </row>
    <row r="456" spans="1:9" customFormat="1" ht="14.5" x14ac:dyDescent="0.35">
      <c r="D456" s="10"/>
      <c r="F456" s="10"/>
      <c r="G456" s="10"/>
      <c r="H456" s="10"/>
      <c r="I456" s="10"/>
    </row>
    <row r="457" spans="1:9" s="4" customFormat="1" x14ac:dyDescent="0.25">
      <c r="A457" s="3" t="s">
        <v>11</v>
      </c>
      <c r="B457" s="3" t="s">
        <v>11</v>
      </c>
      <c r="C457" s="3" t="s">
        <v>11</v>
      </c>
      <c r="D457" s="5">
        <f>SUBTOTAL(9, D455:D456)</f>
        <v>0</v>
      </c>
      <c r="E457" s="3" t="s">
        <v>11</v>
      </c>
      <c r="F457" s="5">
        <f>SUBTOTAL(9, F455:F456)</f>
        <v>5000</v>
      </c>
      <c r="G457" s="5">
        <f>SUBTOTAL(9, G455:G456)</f>
        <v>0</v>
      </c>
      <c r="H457" s="5">
        <f>SUBTOTAL(9, H455:H456)</f>
        <v>5000</v>
      </c>
      <c r="I457" s="5">
        <f>IF(F457&lt;&gt;0, ((F457-G457)/F457)*100, 0)</f>
        <v>100</v>
      </c>
    </row>
    <row r="458" spans="1:9" customFormat="1" ht="14.5" x14ac:dyDescent="0.35">
      <c r="D458" s="10"/>
      <c r="F458" s="10"/>
      <c r="G458" s="10"/>
      <c r="H458" s="10"/>
      <c r="I458" s="10"/>
    </row>
    <row r="459" spans="1:9" x14ac:dyDescent="0.25">
      <c r="A459" s="2" t="s">
        <v>238</v>
      </c>
      <c r="B459" s="2" t="s">
        <v>239</v>
      </c>
      <c r="C459" s="2" t="s">
        <v>11</v>
      </c>
      <c r="E459" s="2" t="s">
        <v>11</v>
      </c>
      <c r="F459" s="6">
        <v>2500</v>
      </c>
      <c r="H459" s="6">
        <f>F459-G459</f>
        <v>2500</v>
      </c>
      <c r="I459" s="6">
        <f>IF(F459&lt;&gt;0, ((F459-G459)/F459)*100, 0)</f>
        <v>100</v>
      </c>
    </row>
    <row r="460" spans="1:9" customFormat="1" ht="14.5" x14ac:dyDescent="0.35">
      <c r="D460" s="10"/>
      <c r="F460" s="10"/>
      <c r="G460" s="10"/>
      <c r="H460" s="10"/>
      <c r="I460" s="10"/>
    </row>
    <row r="461" spans="1:9" s="4" customFormat="1" x14ac:dyDescent="0.25">
      <c r="A461" s="3" t="s">
        <v>11</v>
      </c>
      <c r="B461" s="3" t="s">
        <v>11</v>
      </c>
      <c r="C461" s="3" t="s">
        <v>11</v>
      </c>
      <c r="D461" s="5">
        <f>SUBTOTAL(9, D459:D460)</f>
        <v>0</v>
      </c>
      <c r="E461" s="3" t="s">
        <v>11</v>
      </c>
      <c r="F461" s="5">
        <f>SUBTOTAL(9, F459:F460)</f>
        <v>2500</v>
      </c>
      <c r="G461" s="5">
        <f>SUBTOTAL(9, G459:G460)</f>
        <v>0</v>
      </c>
      <c r="H461" s="5">
        <f>SUBTOTAL(9, H459:H460)</f>
        <v>2500</v>
      </c>
      <c r="I461" s="5">
        <f>IF(F461&lt;&gt;0, ((F461-G461)/F461)*100, 0)</f>
        <v>100</v>
      </c>
    </row>
    <row r="462" spans="1:9" customFormat="1" ht="14.5" x14ac:dyDescent="0.35">
      <c r="D462" s="10"/>
      <c r="F462" s="10"/>
      <c r="G462" s="10"/>
      <c r="H462" s="10"/>
      <c r="I462" s="10"/>
    </row>
    <row r="463" spans="1:9" x14ac:dyDescent="0.25">
      <c r="A463" s="2" t="s">
        <v>240</v>
      </c>
      <c r="B463" s="2" t="s">
        <v>241</v>
      </c>
      <c r="C463" s="2" t="s">
        <v>11</v>
      </c>
      <c r="E463" s="2" t="s">
        <v>11</v>
      </c>
      <c r="F463" s="6">
        <v>1500</v>
      </c>
      <c r="H463" s="6">
        <f>F463-G463</f>
        <v>1500</v>
      </c>
      <c r="I463" s="6">
        <f>IF(F463&lt;&gt;0, ((F463-G463)/F463)*100, 0)</f>
        <v>100</v>
      </c>
    </row>
    <row r="464" spans="1:9" customFormat="1" ht="14.5" x14ac:dyDescent="0.35">
      <c r="D464" s="10"/>
      <c r="F464" s="10"/>
      <c r="G464" s="10"/>
      <c r="H464" s="10"/>
      <c r="I464" s="10"/>
    </row>
    <row r="465" spans="1:9" s="4" customFormat="1" x14ac:dyDescent="0.25">
      <c r="A465" s="3" t="s">
        <v>11</v>
      </c>
      <c r="B465" s="3" t="s">
        <v>11</v>
      </c>
      <c r="C465" s="3" t="s">
        <v>11</v>
      </c>
      <c r="D465" s="5">
        <f>SUBTOTAL(9, D463:D464)</f>
        <v>0</v>
      </c>
      <c r="E465" s="3" t="s">
        <v>11</v>
      </c>
      <c r="F465" s="5">
        <f>SUBTOTAL(9, F463:F464)</f>
        <v>1500</v>
      </c>
      <c r="G465" s="5">
        <f>SUBTOTAL(9, G463:G464)</f>
        <v>0</v>
      </c>
      <c r="H465" s="5">
        <f>SUBTOTAL(9, H463:H464)</f>
        <v>1500</v>
      </c>
      <c r="I465" s="5">
        <f>IF(F465&lt;&gt;0, ((F465-G465)/F465)*100, 0)</f>
        <v>100</v>
      </c>
    </row>
    <row r="466" spans="1:9" customFormat="1" ht="14.5" x14ac:dyDescent="0.35">
      <c r="D466" s="10"/>
      <c r="F466" s="10"/>
      <c r="G466" s="10"/>
      <c r="H466" s="10"/>
      <c r="I466" s="10"/>
    </row>
    <row r="467" spans="1:9" x14ac:dyDescent="0.25">
      <c r="A467" s="2" t="s">
        <v>242</v>
      </c>
      <c r="B467" s="2" t="s">
        <v>243</v>
      </c>
      <c r="C467" s="2" t="s">
        <v>11</v>
      </c>
      <c r="E467" s="2" t="s">
        <v>11</v>
      </c>
      <c r="F467" s="6">
        <v>3000</v>
      </c>
      <c r="H467" s="6">
        <f>F467-G467</f>
        <v>3000</v>
      </c>
      <c r="I467" s="6">
        <f>IF(F467&lt;&gt;0, ((F467-G467)/F467)*100, 0)</f>
        <v>100</v>
      </c>
    </row>
    <row r="468" spans="1:9" customFormat="1" ht="14.5" x14ac:dyDescent="0.35">
      <c r="D468" s="10"/>
      <c r="F468" s="10"/>
      <c r="G468" s="10"/>
      <c r="H468" s="10"/>
      <c r="I468" s="10"/>
    </row>
    <row r="469" spans="1:9" s="4" customFormat="1" x14ac:dyDescent="0.25">
      <c r="A469" s="3" t="s">
        <v>11</v>
      </c>
      <c r="B469" s="3" t="s">
        <v>11</v>
      </c>
      <c r="C469" s="3" t="s">
        <v>11</v>
      </c>
      <c r="D469" s="5">
        <f>SUBTOTAL(9, D467:D468)</f>
        <v>0</v>
      </c>
      <c r="E469" s="3" t="s">
        <v>11</v>
      </c>
      <c r="F469" s="5">
        <f>SUBTOTAL(9, F467:F468)</f>
        <v>3000</v>
      </c>
      <c r="G469" s="5">
        <f>SUBTOTAL(9, G467:G468)</f>
        <v>0</v>
      </c>
      <c r="H469" s="5">
        <f>SUBTOTAL(9, H467:H468)</f>
        <v>3000</v>
      </c>
      <c r="I469" s="5">
        <f>IF(F469&lt;&gt;0, ((F469-G469)/F469)*100, 0)</f>
        <v>100</v>
      </c>
    </row>
    <row r="470" spans="1:9" customFormat="1" ht="14.5" x14ac:dyDescent="0.35">
      <c r="D470" s="10"/>
      <c r="F470" s="10"/>
      <c r="G470" s="10"/>
      <c r="H470" s="10"/>
      <c r="I470" s="10"/>
    </row>
    <row r="471" spans="1:9" x14ac:dyDescent="0.25">
      <c r="A471" s="2" t="s">
        <v>244</v>
      </c>
      <c r="B471" s="2" t="s">
        <v>245</v>
      </c>
      <c r="C471" s="2" t="s">
        <v>11</v>
      </c>
      <c r="E471" s="2" t="s">
        <v>11</v>
      </c>
      <c r="F471" s="6">
        <v>4500</v>
      </c>
      <c r="H471" s="6">
        <f>F471-G471</f>
        <v>4500</v>
      </c>
      <c r="I471" s="6">
        <f>IF(F471&lt;&gt;0, ((F471-G471)/F471)*100, 0)</f>
        <v>100</v>
      </c>
    </row>
    <row r="472" spans="1:9" customFormat="1" ht="14.5" x14ac:dyDescent="0.35">
      <c r="D472" s="10"/>
      <c r="F472" s="10"/>
      <c r="G472" s="10"/>
      <c r="H472" s="10"/>
      <c r="I472" s="10"/>
    </row>
    <row r="473" spans="1:9" s="4" customFormat="1" x14ac:dyDescent="0.25">
      <c r="A473" s="3" t="s">
        <v>11</v>
      </c>
      <c r="B473" s="3" t="s">
        <v>11</v>
      </c>
      <c r="C473" s="3" t="s">
        <v>11</v>
      </c>
      <c r="D473" s="5">
        <f>SUBTOTAL(9, D471:D472)</f>
        <v>0</v>
      </c>
      <c r="E473" s="3" t="s">
        <v>11</v>
      </c>
      <c r="F473" s="5">
        <f>SUBTOTAL(9, F471:F472)</f>
        <v>4500</v>
      </c>
      <c r="G473" s="5">
        <f>SUBTOTAL(9, G471:G472)</f>
        <v>0</v>
      </c>
      <c r="H473" s="5">
        <f>SUBTOTAL(9, H471:H472)</f>
        <v>4500</v>
      </c>
      <c r="I473" s="5">
        <f>IF(F473&lt;&gt;0, ((F473-G473)/F473)*100, 0)</f>
        <v>100</v>
      </c>
    </row>
    <row r="474" spans="1:9" customFormat="1" ht="14.5" x14ac:dyDescent="0.35">
      <c r="D474" s="10"/>
      <c r="F474" s="10"/>
      <c r="G474" s="10"/>
      <c r="H474" s="10"/>
      <c r="I474" s="10"/>
    </row>
    <row r="475" spans="1:9" x14ac:dyDescent="0.25">
      <c r="A475" s="2" t="s">
        <v>246</v>
      </c>
      <c r="B475" s="2" t="s">
        <v>247</v>
      </c>
      <c r="C475" s="2" t="s">
        <v>11</v>
      </c>
      <c r="E475" s="2" t="s">
        <v>11</v>
      </c>
      <c r="F475" s="6">
        <v>3000</v>
      </c>
      <c r="H475" s="6">
        <f>F475-G475</f>
        <v>3000</v>
      </c>
      <c r="I475" s="6">
        <f>IF(F475&lt;&gt;0, ((F475-G475)/F475)*100, 0)</f>
        <v>100</v>
      </c>
    </row>
    <row r="476" spans="1:9" customFormat="1" ht="14.5" x14ac:dyDescent="0.35">
      <c r="D476" s="10"/>
      <c r="F476" s="10"/>
      <c r="G476" s="10"/>
      <c r="H476" s="10"/>
      <c r="I476" s="10"/>
    </row>
    <row r="477" spans="1:9" s="4" customFormat="1" x14ac:dyDescent="0.25">
      <c r="A477" s="3" t="s">
        <v>11</v>
      </c>
      <c r="B477" s="3" t="s">
        <v>11</v>
      </c>
      <c r="C477" s="3" t="s">
        <v>11</v>
      </c>
      <c r="D477" s="5">
        <f>SUBTOTAL(9, D475:D476)</f>
        <v>0</v>
      </c>
      <c r="E477" s="3" t="s">
        <v>11</v>
      </c>
      <c r="F477" s="5">
        <f>SUBTOTAL(9, F475:F476)</f>
        <v>3000</v>
      </c>
      <c r="G477" s="5">
        <f>SUBTOTAL(9, G475:G476)</f>
        <v>0</v>
      </c>
      <c r="H477" s="5">
        <f>SUBTOTAL(9, H475:H476)</f>
        <v>3000</v>
      </c>
      <c r="I477" s="5">
        <f>IF(F477&lt;&gt;0, ((F477-G477)/F477)*100, 0)</f>
        <v>100</v>
      </c>
    </row>
    <row r="478" spans="1:9" customFormat="1" ht="14.5" x14ac:dyDescent="0.35">
      <c r="D478" s="10"/>
      <c r="F478" s="10"/>
      <c r="G478" s="10"/>
      <c r="H478" s="10"/>
      <c r="I478" s="10"/>
    </row>
    <row r="479" spans="1:9" x14ac:dyDescent="0.25">
      <c r="A479" s="2" t="s">
        <v>248</v>
      </c>
      <c r="B479" s="2" t="s">
        <v>249</v>
      </c>
      <c r="C479" s="2" t="s">
        <v>11</v>
      </c>
      <c r="E479" s="2" t="s">
        <v>11</v>
      </c>
      <c r="F479" s="6">
        <v>2500</v>
      </c>
      <c r="H479" s="6">
        <f>F479-G479</f>
        <v>2500</v>
      </c>
      <c r="I479" s="6">
        <f>IF(F479&lt;&gt;0, ((F479-G479)/F479)*100, 0)</f>
        <v>100</v>
      </c>
    </row>
    <row r="480" spans="1:9" customFormat="1" ht="14.5" x14ac:dyDescent="0.35">
      <c r="D480" s="10"/>
      <c r="F480" s="10"/>
      <c r="G480" s="10"/>
      <c r="H480" s="10"/>
      <c r="I480" s="10"/>
    </row>
    <row r="481" spans="1:9" s="4" customFormat="1" x14ac:dyDescent="0.25">
      <c r="A481" s="3" t="s">
        <v>11</v>
      </c>
      <c r="B481" s="3" t="s">
        <v>11</v>
      </c>
      <c r="C481" s="3" t="s">
        <v>11</v>
      </c>
      <c r="D481" s="5">
        <f>SUBTOTAL(9, D479:D480)</f>
        <v>0</v>
      </c>
      <c r="E481" s="3" t="s">
        <v>11</v>
      </c>
      <c r="F481" s="5">
        <f>SUBTOTAL(9, F479:F480)</f>
        <v>2500</v>
      </c>
      <c r="G481" s="5">
        <f>SUBTOTAL(9, G479:G480)</f>
        <v>0</v>
      </c>
      <c r="H481" s="5">
        <f>SUBTOTAL(9, H479:H480)</f>
        <v>2500</v>
      </c>
      <c r="I481" s="5">
        <f>IF(F481&lt;&gt;0, ((F481-G481)/F481)*100, 0)</f>
        <v>100</v>
      </c>
    </row>
    <row r="482" spans="1:9" customFormat="1" ht="14.5" x14ac:dyDescent="0.35">
      <c r="D482" s="10"/>
      <c r="F482" s="10"/>
      <c r="G482" s="10"/>
      <c r="H482" s="10"/>
      <c r="I482" s="10"/>
    </row>
    <row r="483" spans="1:9" x14ac:dyDescent="0.25">
      <c r="A483" s="2" t="s">
        <v>250</v>
      </c>
      <c r="B483" s="2" t="s">
        <v>251</v>
      </c>
      <c r="C483" s="2" t="s">
        <v>11</v>
      </c>
      <c r="E483" s="2" t="s">
        <v>11</v>
      </c>
      <c r="F483" s="6">
        <v>10000</v>
      </c>
      <c r="H483" s="6">
        <f>F483-G483</f>
        <v>10000</v>
      </c>
      <c r="I483" s="6">
        <f>IF(F483&lt;&gt;0, ((F483-G483)/F483)*100, 0)</f>
        <v>100</v>
      </c>
    </row>
    <row r="484" spans="1:9" customFormat="1" ht="14.5" x14ac:dyDescent="0.35">
      <c r="D484" s="10"/>
      <c r="F484" s="10"/>
      <c r="G484" s="10"/>
      <c r="H484" s="10"/>
      <c r="I484" s="10"/>
    </row>
    <row r="485" spans="1:9" s="4" customFormat="1" x14ac:dyDescent="0.25">
      <c r="A485" s="3" t="s">
        <v>11</v>
      </c>
      <c r="B485" s="3" t="s">
        <v>11</v>
      </c>
      <c r="C485" s="3" t="s">
        <v>11</v>
      </c>
      <c r="D485" s="5">
        <f>SUBTOTAL(9, D483:D484)</f>
        <v>0</v>
      </c>
      <c r="E485" s="3" t="s">
        <v>11</v>
      </c>
      <c r="F485" s="5">
        <f>SUBTOTAL(9, F483:F484)</f>
        <v>10000</v>
      </c>
      <c r="G485" s="5">
        <f>SUBTOTAL(9, G483:G484)</f>
        <v>0</v>
      </c>
      <c r="H485" s="5">
        <f>SUBTOTAL(9, H483:H484)</f>
        <v>10000</v>
      </c>
      <c r="I485" s="5">
        <f>IF(F485&lt;&gt;0, ((F485-G485)/F485)*100, 0)</f>
        <v>100</v>
      </c>
    </row>
    <row r="486" spans="1:9" customFormat="1" ht="14.5" x14ac:dyDescent="0.35">
      <c r="D486" s="10"/>
      <c r="F486" s="10"/>
      <c r="G486" s="10"/>
      <c r="H486" s="10"/>
      <c r="I486" s="10"/>
    </row>
    <row r="487" spans="1:9" x14ac:dyDescent="0.25">
      <c r="A487" s="2" t="s">
        <v>252</v>
      </c>
      <c r="B487" s="2" t="s">
        <v>253</v>
      </c>
      <c r="C487" s="2" t="s">
        <v>11</v>
      </c>
      <c r="E487" s="2" t="s">
        <v>11</v>
      </c>
      <c r="F487" s="6">
        <v>500</v>
      </c>
      <c r="H487" s="6">
        <f>F487-G487</f>
        <v>500</v>
      </c>
      <c r="I487" s="6">
        <f>IF(F487&lt;&gt;0, ((F487-G487)/F487)*100, 0)</f>
        <v>100</v>
      </c>
    </row>
    <row r="488" spans="1:9" customFormat="1" ht="14.5" x14ac:dyDescent="0.35">
      <c r="D488" s="10"/>
      <c r="F488" s="10"/>
      <c r="G488" s="10"/>
      <c r="H488" s="10"/>
      <c r="I488" s="10"/>
    </row>
    <row r="489" spans="1:9" s="4" customFormat="1" x14ac:dyDescent="0.25">
      <c r="A489" s="3" t="s">
        <v>11</v>
      </c>
      <c r="B489" s="3" t="s">
        <v>11</v>
      </c>
      <c r="C489" s="3" t="s">
        <v>11</v>
      </c>
      <c r="D489" s="5">
        <f>SUBTOTAL(9, D487:D488)</f>
        <v>0</v>
      </c>
      <c r="E489" s="3" t="s">
        <v>11</v>
      </c>
      <c r="F489" s="5">
        <f>SUBTOTAL(9, F487:F488)</f>
        <v>500</v>
      </c>
      <c r="G489" s="5">
        <f>SUBTOTAL(9, G487:G488)</f>
        <v>0</v>
      </c>
      <c r="H489" s="5">
        <f>SUBTOTAL(9, H487:H488)</f>
        <v>500</v>
      </c>
      <c r="I489" s="5">
        <f>IF(F489&lt;&gt;0, ((F489-G489)/F489)*100, 0)</f>
        <v>100</v>
      </c>
    </row>
    <row r="490" spans="1:9" customFormat="1" ht="14.5" x14ac:dyDescent="0.35">
      <c r="D490" s="10"/>
      <c r="F490" s="10"/>
      <c r="G490" s="10"/>
      <c r="H490" s="10"/>
      <c r="I490" s="10"/>
    </row>
    <row r="491" spans="1:9" x14ac:dyDescent="0.25">
      <c r="A491" s="2" t="s">
        <v>254</v>
      </c>
      <c r="B491" s="2" t="s">
        <v>255</v>
      </c>
      <c r="C491" s="2" t="s">
        <v>11</v>
      </c>
      <c r="E491" s="2" t="s">
        <v>11</v>
      </c>
      <c r="F491" s="6">
        <v>8000</v>
      </c>
      <c r="H491" s="6">
        <f>F491-G491</f>
        <v>8000</v>
      </c>
      <c r="I491" s="6">
        <f>IF(F491&lt;&gt;0, ((F491-G491)/F491)*100, 0)</f>
        <v>100</v>
      </c>
    </row>
    <row r="492" spans="1:9" customFormat="1" ht="14.5" x14ac:dyDescent="0.35">
      <c r="D492" s="10"/>
      <c r="F492" s="10"/>
      <c r="G492" s="10"/>
      <c r="H492" s="10"/>
      <c r="I492" s="10"/>
    </row>
    <row r="493" spans="1:9" s="4" customFormat="1" x14ac:dyDescent="0.25">
      <c r="A493" s="3" t="s">
        <v>11</v>
      </c>
      <c r="B493" s="3" t="s">
        <v>11</v>
      </c>
      <c r="C493" s="3" t="s">
        <v>11</v>
      </c>
      <c r="D493" s="5">
        <f>SUBTOTAL(9, D491:D492)</f>
        <v>0</v>
      </c>
      <c r="E493" s="3" t="s">
        <v>11</v>
      </c>
      <c r="F493" s="5">
        <f>SUBTOTAL(9, F491:F492)</f>
        <v>8000</v>
      </c>
      <c r="G493" s="5">
        <f>SUBTOTAL(9, G491:G492)</f>
        <v>0</v>
      </c>
      <c r="H493" s="5">
        <f>SUBTOTAL(9, H491:H492)</f>
        <v>8000</v>
      </c>
      <c r="I493" s="5">
        <f>IF(F493&lt;&gt;0, ((F493-G493)/F493)*100, 0)</f>
        <v>100</v>
      </c>
    </row>
    <row r="494" spans="1:9" customFormat="1" ht="14.5" x14ac:dyDescent="0.35">
      <c r="D494" s="10"/>
      <c r="F494" s="10"/>
      <c r="G494" s="10"/>
      <c r="H494" s="10"/>
      <c r="I494" s="10"/>
    </row>
    <row r="495" spans="1:9" x14ac:dyDescent="0.25">
      <c r="A495" s="2" t="s">
        <v>256</v>
      </c>
      <c r="B495" s="2" t="s">
        <v>257</v>
      </c>
      <c r="C495" s="2" t="s">
        <v>11</v>
      </c>
      <c r="E495" s="2" t="s">
        <v>11</v>
      </c>
      <c r="F495" s="6">
        <v>14800</v>
      </c>
      <c r="H495" s="6">
        <f>F495-G495</f>
        <v>14800</v>
      </c>
      <c r="I495" s="6">
        <f>IF(F495&lt;&gt;0, ((F495-G495)/F495)*100, 0)</f>
        <v>100</v>
      </c>
    </row>
    <row r="496" spans="1:9" customFormat="1" ht="14.5" x14ac:dyDescent="0.35">
      <c r="D496" s="10"/>
      <c r="F496" s="10"/>
      <c r="G496" s="10"/>
      <c r="H496" s="10"/>
      <c r="I496" s="10"/>
    </row>
    <row r="497" spans="1:9" s="4" customFormat="1" x14ac:dyDescent="0.25">
      <c r="A497" s="3" t="s">
        <v>11</v>
      </c>
      <c r="B497" s="3" t="s">
        <v>11</v>
      </c>
      <c r="C497" s="3" t="s">
        <v>11</v>
      </c>
      <c r="D497" s="5">
        <f>SUBTOTAL(9, D495:D496)</f>
        <v>0</v>
      </c>
      <c r="E497" s="3" t="s">
        <v>11</v>
      </c>
      <c r="F497" s="5">
        <f>SUBTOTAL(9, F495:F496)</f>
        <v>14800</v>
      </c>
      <c r="G497" s="5">
        <f>SUBTOTAL(9, G495:G496)</f>
        <v>0</v>
      </c>
      <c r="H497" s="5">
        <f>SUBTOTAL(9, H495:H496)</f>
        <v>14800</v>
      </c>
      <c r="I497" s="5">
        <f>IF(F497&lt;&gt;0, ((F497-G497)/F497)*100, 0)</f>
        <v>100</v>
      </c>
    </row>
    <row r="498" spans="1:9" customFormat="1" ht="14.5" x14ac:dyDescent="0.35">
      <c r="D498" s="10"/>
      <c r="F498" s="10"/>
      <c r="G498" s="10"/>
      <c r="H498" s="10"/>
      <c r="I498" s="10"/>
    </row>
    <row r="499" spans="1:9" x14ac:dyDescent="0.25">
      <c r="A499" s="2" t="s">
        <v>258</v>
      </c>
      <c r="B499" s="2" t="s">
        <v>259</v>
      </c>
      <c r="C499" s="2" t="s">
        <v>11</v>
      </c>
      <c r="E499" s="2" t="s">
        <v>11</v>
      </c>
      <c r="F499" s="6">
        <v>500</v>
      </c>
      <c r="H499" s="6">
        <f>F499-G499</f>
        <v>500</v>
      </c>
      <c r="I499" s="6">
        <f>IF(F499&lt;&gt;0, ((F499-G499)/F499)*100, 0)</f>
        <v>100</v>
      </c>
    </row>
    <row r="500" spans="1:9" customFormat="1" ht="14.5" x14ac:dyDescent="0.35">
      <c r="D500" s="10"/>
      <c r="F500" s="10"/>
      <c r="G500" s="10"/>
      <c r="H500" s="10"/>
      <c r="I500" s="10"/>
    </row>
    <row r="501" spans="1:9" s="4" customFormat="1" x14ac:dyDescent="0.25">
      <c r="A501" s="3" t="s">
        <v>11</v>
      </c>
      <c r="B501" s="3" t="s">
        <v>11</v>
      </c>
      <c r="C501" s="3" t="s">
        <v>11</v>
      </c>
      <c r="D501" s="5">
        <f>SUBTOTAL(9, D499:D500)</f>
        <v>0</v>
      </c>
      <c r="E501" s="3" t="s">
        <v>11</v>
      </c>
      <c r="F501" s="5">
        <f>SUBTOTAL(9, F499:F500)</f>
        <v>500</v>
      </c>
      <c r="G501" s="5">
        <f>SUBTOTAL(9, G499:G500)</f>
        <v>0</v>
      </c>
      <c r="H501" s="5">
        <f>SUBTOTAL(9, H499:H500)</f>
        <v>500</v>
      </c>
      <c r="I501" s="5">
        <f>IF(F501&lt;&gt;0, ((F501-G501)/F501)*100, 0)</f>
        <v>100</v>
      </c>
    </row>
    <row r="502" spans="1:9" customFormat="1" ht="14.5" x14ac:dyDescent="0.35">
      <c r="D502" s="10"/>
      <c r="F502" s="10"/>
      <c r="G502" s="10"/>
      <c r="H502" s="10"/>
      <c r="I502" s="10"/>
    </row>
    <row r="503" spans="1:9" x14ac:dyDescent="0.25">
      <c r="A503" s="2" t="s">
        <v>260</v>
      </c>
      <c r="B503" s="2" t="s">
        <v>261</v>
      </c>
      <c r="C503" s="2" t="s">
        <v>11</v>
      </c>
      <c r="E503" s="2" t="s">
        <v>11</v>
      </c>
      <c r="F503" s="6">
        <v>3000</v>
      </c>
      <c r="H503" s="6">
        <f>F503-G503</f>
        <v>3000</v>
      </c>
      <c r="I503" s="6">
        <f>IF(F503&lt;&gt;0, ((F503-G503)/F503)*100, 0)</f>
        <v>100</v>
      </c>
    </row>
    <row r="504" spans="1:9" customFormat="1" ht="14.5" x14ac:dyDescent="0.35">
      <c r="D504" s="10"/>
      <c r="F504" s="10"/>
      <c r="G504" s="10"/>
      <c r="H504" s="10"/>
      <c r="I504" s="10"/>
    </row>
    <row r="505" spans="1:9" s="4" customFormat="1" x14ac:dyDescent="0.25">
      <c r="A505" s="3" t="s">
        <v>11</v>
      </c>
      <c r="B505" s="3" t="s">
        <v>11</v>
      </c>
      <c r="C505" s="3" t="s">
        <v>11</v>
      </c>
      <c r="D505" s="5">
        <f>SUBTOTAL(9, D503:D504)</f>
        <v>0</v>
      </c>
      <c r="E505" s="3" t="s">
        <v>11</v>
      </c>
      <c r="F505" s="5">
        <f>SUBTOTAL(9, F503:F504)</f>
        <v>3000</v>
      </c>
      <c r="G505" s="5">
        <f>SUBTOTAL(9, G503:G504)</f>
        <v>0</v>
      </c>
      <c r="H505" s="5">
        <f>SUBTOTAL(9, H503:H504)</f>
        <v>3000</v>
      </c>
      <c r="I505" s="5">
        <f>IF(F505&lt;&gt;0, ((F505-G505)/F505)*100, 0)</f>
        <v>100</v>
      </c>
    </row>
    <row r="506" spans="1:9" customFormat="1" ht="14.5" x14ac:dyDescent="0.35">
      <c r="D506" s="10"/>
      <c r="F506" s="10"/>
      <c r="G506" s="10"/>
      <c r="H506" s="10"/>
      <c r="I506" s="10"/>
    </row>
    <row r="507" spans="1:9" x14ac:dyDescent="0.25">
      <c r="A507" s="2" t="s">
        <v>262</v>
      </c>
      <c r="B507" s="2" t="s">
        <v>263</v>
      </c>
      <c r="C507" s="2" t="s">
        <v>11</v>
      </c>
      <c r="E507" s="2" t="s">
        <v>11</v>
      </c>
      <c r="F507" s="6">
        <v>102200</v>
      </c>
      <c r="H507" s="6">
        <f>F507-G507</f>
        <v>102200</v>
      </c>
      <c r="I507" s="6">
        <f>IF(F507&lt;&gt;0, ((F507-G507)/F507)*100, 0)</f>
        <v>100</v>
      </c>
    </row>
    <row r="508" spans="1:9" customFormat="1" ht="14.5" x14ac:dyDescent="0.35">
      <c r="D508" s="10"/>
      <c r="F508" s="10"/>
      <c r="G508" s="10"/>
      <c r="H508" s="10"/>
      <c r="I508" s="10"/>
    </row>
    <row r="509" spans="1:9" s="4" customFormat="1" x14ac:dyDescent="0.25">
      <c r="A509" s="3" t="s">
        <v>11</v>
      </c>
      <c r="B509" s="3" t="s">
        <v>11</v>
      </c>
      <c r="C509" s="3" t="s">
        <v>11</v>
      </c>
      <c r="D509" s="5">
        <f>SUBTOTAL(9, D507:D508)</f>
        <v>0</v>
      </c>
      <c r="E509" s="3" t="s">
        <v>11</v>
      </c>
      <c r="F509" s="5">
        <f>SUBTOTAL(9, F507:F508)</f>
        <v>102200</v>
      </c>
      <c r="G509" s="5">
        <f>SUBTOTAL(9, G507:G508)</f>
        <v>0</v>
      </c>
      <c r="H509" s="5">
        <f>SUBTOTAL(9, H507:H508)</f>
        <v>102200</v>
      </c>
      <c r="I509" s="5">
        <f>IF(F509&lt;&gt;0, ((F509-G509)/F509)*100, 0)</f>
        <v>100</v>
      </c>
    </row>
    <row r="510" spans="1:9" customFormat="1" ht="14.5" x14ac:dyDescent="0.35">
      <c r="D510" s="10"/>
      <c r="F510" s="10"/>
      <c r="G510" s="10"/>
      <c r="H510" s="10"/>
      <c r="I510" s="10"/>
    </row>
    <row r="511" spans="1:9" x14ac:dyDescent="0.25">
      <c r="A511" s="2" t="s">
        <v>264</v>
      </c>
      <c r="B511" s="2" t="s">
        <v>265</v>
      </c>
      <c r="C511" s="2" t="s">
        <v>11</v>
      </c>
      <c r="E511" s="2" t="s">
        <v>11</v>
      </c>
      <c r="F511" s="6">
        <v>3000</v>
      </c>
      <c r="H511" s="6">
        <f>F511-G511</f>
        <v>3000</v>
      </c>
      <c r="I511" s="6">
        <f>IF(F511&lt;&gt;0, ((F511-G511)/F511)*100, 0)</f>
        <v>100</v>
      </c>
    </row>
    <row r="512" spans="1:9" customFormat="1" ht="14.5" x14ac:dyDescent="0.35">
      <c r="D512" s="10"/>
      <c r="F512" s="10"/>
      <c r="G512" s="10"/>
      <c r="H512" s="10"/>
      <c r="I512" s="10"/>
    </row>
    <row r="513" spans="1:9" s="4" customFormat="1" x14ac:dyDescent="0.25">
      <c r="A513" s="3" t="s">
        <v>11</v>
      </c>
      <c r="B513" s="3" t="s">
        <v>11</v>
      </c>
      <c r="C513" s="3" t="s">
        <v>11</v>
      </c>
      <c r="D513" s="5">
        <f>SUBTOTAL(9, D511:D512)</f>
        <v>0</v>
      </c>
      <c r="E513" s="3" t="s">
        <v>11</v>
      </c>
      <c r="F513" s="5">
        <f>SUBTOTAL(9, F511:F512)</f>
        <v>3000</v>
      </c>
      <c r="G513" s="5">
        <f>SUBTOTAL(9, G511:G512)</f>
        <v>0</v>
      </c>
      <c r="H513" s="5">
        <f>SUBTOTAL(9, H511:H512)</f>
        <v>3000</v>
      </c>
      <c r="I513" s="5">
        <f>IF(F513&lt;&gt;0, ((F513-G513)/F513)*100, 0)</f>
        <v>100</v>
      </c>
    </row>
    <row r="514" spans="1:9" customFormat="1" ht="14.5" x14ac:dyDescent="0.35">
      <c r="D514" s="10"/>
      <c r="F514" s="10"/>
      <c r="G514" s="10"/>
      <c r="H514" s="10"/>
      <c r="I514" s="10"/>
    </row>
    <row r="515" spans="1:9" x14ac:dyDescent="0.25">
      <c r="A515" s="2" t="s">
        <v>266</v>
      </c>
      <c r="B515" s="2" t="s">
        <v>267</v>
      </c>
      <c r="C515" s="2" t="s">
        <v>11</v>
      </c>
      <c r="E515" s="2" t="s">
        <v>11</v>
      </c>
      <c r="F515" s="6">
        <v>500</v>
      </c>
      <c r="H515" s="6">
        <f>F515-G515</f>
        <v>500</v>
      </c>
      <c r="I515" s="6">
        <f>IF(F515&lt;&gt;0, ((F515-G515)/F515)*100, 0)</f>
        <v>100</v>
      </c>
    </row>
    <row r="516" spans="1:9" customFormat="1" ht="14.5" x14ac:dyDescent="0.35">
      <c r="D516" s="10"/>
      <c r="F516" s="10"/>
      <c r="G516" s="10"/>
      <c r="H516" s="10"/>
      <c r="I516" s="10"/>
    </row>
    <row r="517" spans="1:9" s="4" customFormat="1" x14ac:dyDescent="0.25">
      <c r="A517" s="3" t="s">
        <v>11</v>
      </c>
      <c r="B517" s="3" t="s">
        <v>11</v>
      </c>
      <c r="C517" s="3" t="s">
        <v>11</v>
      </c>
      <c r="D517" s="5">
        <f>SUBTOTAL(9, D515:D516)</f>
        <v>0</v>
      </c>
      <c r="E517" s="3" t="s">
        <v>11</v>
      </c>
      <c r="F517" s="5">
        <f>SUBTOTAL(9, F515:F516)</f>
        <v>500</v>
      </c>
      <c r="G517" s="5">
        <f>SUBTOTAL(9, G515:G516)</f>
        <v>0</v>
      </c>
      <c r="H517" s="5">
        <f>SUBTOTAL(9, H515:H516)</f>
        <v>500</v>
      </c>
      <c r="I517" s="5">
        <f>IF(F517&lt;&gt;0, ((F517-G517)/F517)*100, 0)</f>
        <v>100</v>
      </c>
    </row>
    <row r="518" spans="1:9" customFormat="1" ht="14.5" x14ac:dyDescent="0.35">
      <c r="D518" s="10"/>
      <c r="F518" s="10"/>
      <c r="G518" s="10"/>
      <c r="H518" s="10"/>
      <c r="I518" s="10"/>
    </row>
    <row r="519" spans="1:9" x14ac:dyDescent="0.25">
      <c r="A519" s="2" t="s">
        <v>268</v>
      </c>
      <c r="B519" s="2" t="s">
        <v>269</v>
      </c>
      <c r="C519" s="2" t="s">
        <v>11</v>
      </c>
      <c r="E519" s="2" t="s">
        <v>11</v>
      </c>
      <c r="F519" s="6">
        <v>3400</v>
      </c>
      <c r="H519" s="6">
        <f>F519-G519</f>
        <v>3400</v>
      </c>
      <c r="I519" s="6">
        <f>IF(F519&lt;&gt;0, ((F519-G519)/F519)*100, 0)</f>
        <v>100</v>
      </c>
    </row>
    <row r="520" spans="1:9" customFormat="1" ht="14.5" x14ac:dyDescent="0.35">
      <c r="D520" s="10"/>
      <c r="F520" s="10"/>
      <c r="G520" s="10"/>
      <c r="H520" s="10"/>
      <c r="I520" s="10"/>
    </row>
    <row r="521" spans="1:9" s="4" customFormat="1" x14ac:dyDescent="0.25">
      <c r="A521" s="3" t="s">
        <v>11</v>
      </c>
      <c r="B521" s="3" t="s">
        <v>11</v>
      </c>
      <c r="C521" s="3" t="s">
        <v>11</v>
      </c>
      <c r="D521" s="5">
        <f>SUBTOTAL(9, D519:D520)</f>
        <v>0</v>
      </c>
      <c r="E521" s="3" t="s">
        <v>11</v>
      </c>
      <c r="F521" s="5">
        <f>SUBTOTAL(9, F519:F520)</f>
        <v>3400</v>
      </c>
      <c r="G521" s="5">
        <f>SUBTOTAL(9, G519:G520)</f>
        <v>0</v>
      </c>
      <c r="H521" s="5">
        <f>SUBTOTAL(9, H519:H520)</f>
        <v>3400</v>
      </c>
      <c r="I521" s="5">
        <f>IF(F521&lt;&gt;0, ((F521-G521)/F521)*100, 0)</f>
        <v>100</v>
      </c>
    </row>
    <row r="522" spans="1:9" customFormat="1" ht="14.5" x14ac:dyDescent="0.35">
      <c r="D522" s="10"/>
      <c r="F522" s="10"/>
      <c r="G522" s="10"/>
      <c r="H522" s="10"/>
      <c r="I522" s="10"/>
    </row>
    <row r="523" spans="1:9" x14ac:dyDescent="0.25">
      <c r="A523" s="2" t="s">
        <v>270</v>
      </c>
      <c r="B523" s="2" t="s">
        <v>271</v>
      </c>
      <c r="C523" s="2" t="s">
        <v>11</v>
      </c>
      <c r="E523" s="2" t="s">
        <v>11</v>
      </c>
      <c r="F523" s="6">
        <v>500</v>
      </c>
      <c r="H523" s="6">
        <f>F523-G523</f>
        <v>500</v>
      </c>
      <c r="I523" s="6">
        <f>IF(F523&lt;&gt;0, ((F523-G523)/F523)*100, 0)</f>
        <v>100</v>
      </c>
    </row>
    <row r="524" spans="1:9" customFormat="1" ht="14.5" x14ac:dyDescent="0.35">
      <c r="D524" s="10"/>
      <c r="F524" s="10"/>
      <c r="G524" s="10"/>
      <c r="H524" s="10"/>
      <c r="I524" s="10"/>
    </row>
    <row r="525" spans="1:9" s="4" customFormat="1" x14ac:dyDescent="0.25">
      <c r="A525" s="3" t="s">
        <v>11</v>
      </c>
      <c r="B525" s="3" t="s">
        <v>11</v>
      </c>
      <c r="C525" s="3" t="s">
        <v>11</v>
      </c>
      <c r="D525" s="5">
        <f>SUBTOTAL(9, D523:D524)</f>
        <v>0</v>
      </c>
      <c r="E525" s="3" t="s">
        <v>11</v>
      </c>
      <c r="F525" s="5">
        <f>SUBTOTAL(9, F523:F524)</f>
        <v>500</v>
      </c>
      <c r="G525" s="5">
        <f>SUBTOTAL(9, G523:G524)</f>
        <v>0</v>
      </c>
      <c r="H525" s="5">
        <f>SUBTOTAL(9, H523:H524)</f>
        <v>500</v>
      </c>
      <c r="I525" s="5">
        <f>IF(F525&lt;&gt;0, ((F525-G525)/F525)*100, 0)</f>
        <v>100</v>
      </c>
    </row>
    <row r="526" spans="1:9" customFormat="1" ht="14.5" x14ac:dyDescent="0.35">
      <c r="D526" s="10"/>
      <c r="F526" s="10"/>
      <c r="G526" s="10"/>
      <c r="H526" s="10"/>
      <c r="I526" s="10"/>
    </row>
    <row r="527" spans="1:9" x14ac:dyDescent="0.25">
      <c r="A527" s="2" t="s">
        <v>272</v>
      </c>
      <c r="B527" s="2" t="s">
        <v>273</v>
      </c>
      <c r="C527" s="2" t="s">
        <v>11</v>
      </c>
      <c r="E527" s="2" t="s">
        <v>11</v>
      </c>
      <c r="F527" s="6">
        <v>4000</v>
      </c>
      <c r="H527" s="6">
        <f>F527-G527</f>
        <v>4000</v>
      </c>
      <c r="I527" s="6">
        <f>IF(F527&lt;&gt;0, ((F527-G527)/F527)*100, 0)</f>
        <v>100</v>
      </c>
    </row>
    <row r="528" spans="1:9" customFormat="1" ht="14.5" x14ac:dyDescent="0.35">
      <c r="D528" s="10"/>
      <c r="F528" s="10"/>
      <c r="G528" s="10"/>
      <c r="H528" s="10"/>
      <c r="I528" s="10"/>
    </row>
    <row r="529" spans="1:9" s="4" customFormat="1" x14ac:dyDescent="0.25">
      <c r="A529" s="3" t="s">
        <v>11</v>
      </c>
      <c r="B529" s="3" t="s">
        <v>11</v>
      </c>
      <c r="C529" s="3" t="s">
        <v>11</v>
      </c>
      <c r="D529" s="5">
        <f>SUBTOTAL(9, D527:D528)</f>
        <v>0</v>
      </c>
      <c r="E529" s="3" t="s">
        <v>11</v>
      </c>
      <c r="F529" s="5">
        <f>SUBTOTAL(9, F527:F528)</f>
        <v>4000</v>
      </c>
      <c r="G529" s="5">
        <f>SUBTOTAL(9, G527:G528)</f>
        <v>0</v>
      </c>
      <c r="H529" s="5">
        <f>SUBTOTAL(9, H527:H528)</f>
        <v>4000</v>
      </c>
      <c r="I529" s="5">
        <f>IF(F529&lt;&gt;0, ((F529-G529)/F529)*100, 0)</f>
        <v>100</v>
      </c>
    </row>
    <row r="530" spans="1:9" customFormat="1" ht="14.5" x14ac:dyDescent="0.35">
      <c r="D530" s="10"/>
      <c r="F530" s="10"/>
      <c r="G530" s="10"/>
      <c r="H530" s="10"/>
      <c r="I530" s="10"/>
    </row>
    <row r="531" spans="1:9" x14ac:dyDescent="0.25">
      <c r="A531" s="2" t="s">
        <v>274</v>
      </c>
      <c r="B531" s="2" t="s">
        <v>275</v>
      </c>
      <c r="C531" s="2" t="s">
        <v>11</v>
      </c>
      <c r="E531" s="2" t="s">
        <v>11</v>
      </c>
      <c r="F531" s="6">
        <v>1500</v>
      </c>
      <c r="H531" s="6">
        <f>F531-G531</f>
        <v>1500</v>
      </c>
      <c r="I531" s="6">
        <f>IF(F531&lt;&gt;0, ((F531-G531)/F531)*100, 0)</f>
        <v>100</v>
      </c>
    </row>
    <row r="532" spans="1:9" customFormat="1" ht="14.5" x14ac:dyDescent="0.35">
      <c r="D532" s="10"/>
      <c r="F532" s="10"/>
      <c r="G532" s="10"/>
      <c r="H532" s="10"/>
      <c r="I532" s="10"/>
    </row>
    <row r="533" spans="1:9" s="4" customFormat="1" x14ac:dyDescent="0.25">
      <c r="A533" s="3" t="s">
        <v>11</v>
      </c>
      <c r="B533" s="3" t="s">
        <v>11</v>
      </c>
      <c r="C533" s="3" t="s">
        <v>11</v>
      </c>
      <c r="D533" s="5">
        <f>SUBTOTAL(9, D531:D532)</f>
        <v>0</v>
      </c>
      <c r="E533" s="3" t="s">
        <v>11</v>
      </c>
      <c r="F533" s="5">
        <f>SUBTOTAL(9, F531:F532)</f>
        <v>1500</v>
      </c>
      <c r="G533" s="5">
        <f>SUBTOTAL(9, G531:G532)</f>
        <v>0</v>
      </c>
      <c r="H533" s="5">
        <f>SUBTOTAL(9, H531:H532)</f>
        <v>1500</v>
      </c>
      <c r="I533" s="5">
        <f>IF(F533&lt;&gt;0, ((F533-G533)/F533)*100, 0)</f>
        <v>100</v>
      </c>
    </row>
    <row r="534" spans="1:9" customFormat="1" ht="14.5" x14ac:dyDescent="0.35">
      <c r="D534" s="10"/>
      <c r="F534" s="10"/>
      <c r="G534" s="10"/>
      <c r="H534" s="10"/>
      <c r="I534" s="10"/>
    </row>
    <row r="535" spans="1:9" x14ac:dyDescent="0.25">
      <c r="A535" s="2" t="s">
        <v>276</v>
      </c>
      <c r="B535" s="2" t="s">
        <v>277</v>
      </c>
      <c r="C535" s="2" t="s">
        <v>11</v>
      </c>
      <c r="E535" s="2" t="s">
        <v>11</v>
      </c>
      <c r="F535" s="6">
        <v>9500</v>
      </c>
      <c r="H535" s="6">
        <f>F535-G535</f>
        <v>9500</v>
      </c>
      <c r="I535" s="6">
        <f>IF(F535&lt;&gt;0, ((F535-G535)/F535)*100, 0)</f>
        <v>100</v>
      </c>
    </row>
    <row r="536" spans="1:9" customFormat="1" ht="14.5" x14ac:dyDescent="0.35">
      <c r="D536" s="10"/>
      <c r="F536" s="10"/>
      <c r="G536" s="10"/>
      <c r="H536" s="10"/>
      <c r="I536" s="10"/>
    </row>
    <row r="537" spans="1:9" s="4" customFormat="1" x14ac:dyDescent="0.25">
      <c r="A537" s="3" t="s">
        <v>11</v>
      </c>
      <c r="B537" s="3" t="s">
        <v>11</v>
      </c>
      <c r="C537" s="3" t="s">
        <v>11</v>
      </c>
      <c r="D537" s="5">
        <f>SUBTOTAL(9, D535:D536)</f>
        <v>0</v>
      </c>
      <c r="E537" s="3" t="s">
        <v>11</v>
      </c>
      <c r="F537" s="5">
        <f>SUBTOTAL(9, F535:F536)</f>
        <v>9500</v>
      </c>
      <c r="G537" s="5">
        <f>SUBTOTAL(9, G535:G536)</f>
        <v>0</v>
      </c>
      <c r="H537" s="5">
        <f>SUBTOTAL(9, H535:H536)</f>
        <v>9500</v>
      </c>
      <c r="I537" s="5">
        <f>IF(F537&lt;&gt;0, ((F537-G537)/F537)*100, 0)</f>
        <v>100</v>
      </c>
    </row>
    <row r="538" spans="1:9" customFormat="1" ht="14.5" x14ac:dyDescent="0.35">
      <c r="D538" s="10"/>
      <c r="F538" s="10"/>
      <c r="G538" s="10"/>
      <c r="H538" s="10"/>
      <c r="I538" s="10"/>
    </row>
    <row r="539" spans="1:9" x14ac:dyDescent="0.25">
      <c r="A539" s="2" t="s">
        <v>278</v>
      </c>
      <c r="B539" s="2" t="s">
        <v>279</v>
      </c>
      <c r="C539" s="2" t="s">
        <v>11</v>
      </c>
      <c r="E539" s="2" t="s">
        <v>11</v>
      </c>
      <c r="F539" s="6">
        <v>2962.5</v>
      </c>
      <c r="H539" s="6">
        <f>F539-G539</f>
        <v>2962.5</v>
      </c>
      <c r="I539" s="6">
        <f>IF(F539&lt;&gt;0, ((F539-G539)/F539)*100, 0)</f>
        <v>100</v>
      </c>
    </row>
    <row r="540" spans="1:9" customFormat="1" ht="14.5" x14ac:dyDescent="0.35">
      <c r="D540" s="10"/>
      <c r="F540" s="10"/>
      <c r="G540" s="10"/>
      <c r="H540" s="10"/>
      <c r="I540" s="10"/>
    </row>
    <row r="541" spans="1:9" s="4" customFormat="1" x14ac:dyDescent="0.25">
      <c r="A541" s="3" t="s">
        <v>11</v>
      </c>
      <c r="B541" s="3" t="s">
        <v>11</v>
      </c>
      <c r="C541" s="3" t="s">
        <v>11</v>
      </c>
      <c r="D541" s="5">
        <f>SUBTOTAL(9, D539:D540)</f>
        <v>0</v>
      </c>
      <c r="E541" s="3" t="s">
        <v>11</v>
      </c>
      <c r="F541" s="5">
        <f>SUBTOTAL(9, F539:F540)</f>
        <v>2962.5</v>
      </c>
      <c r="G541" s="5">
        <f>SUBTOTAL(9, G539:G540)</f>
        <v>0</v>
      </c>
      <c r="H541" s="5">
        <f>SUBTOTAL(9, H539:H540)</f>
        <v>2962.5</v>
      </c>
      <c r="I541" s="5">
        <f>IF(F541&lt;&gt;0, ((F541-G541)/F541)*100, 0)</f>
        <v>100</v>
      </c>
    </row>
    <row r="542" spans="1:9" customFormat="1" ht="14.5" x14ac:dyDescent="0.35">
      <c r="D542" s="10"/>
      <c r="F542" s="10"/>
      <c r="G542" s="10"/>
      <c r="H542" s="10"/>
      <c r="I542" s="10"/>
    </row>
    <row r="543" spans="1:9" x14ac:dyDescent="0.25">
      <c r="A543" s="2" t="s">
        <v>280</v>
      </c>
      <c r="B543" s="2" t="s">
        <v>281</v>
      </c>
      <c r="C543" s="2" t="s">
        <v>11</v>
      </c>
      <c r="E543" s="2" t="s">
        <v>11</v>
      </c>
      <c r="F543" s="6">
        <v>1000</v>
      </c>
      <c r="H543" s="6">
        <f>F543-G543</f>
        <v>1000</v>
      </c>
      <c r="I543" s="6">
        <f>IF(F543&lt;&gt;0, ((F543-G543)/F543)*100, 0)</f>
        <v>100</v>
      </c>
    </row>
    <row r="544" spans="1:9" customFormat="1" ht="14.5" x14ac:dyDescent="0.35">
      <c r="D544" s="10"/>
      <c r="F544" s="10"/>
      <c r="G544" s="10"/>
      <c r="H544" s="10"/>
      <c r="I544" s="10"/>
    </row>
    <row r="545" spans="1:9" s="4" customFormat="1" x14ac:dyDescent="0.25">
      <c r="A545" s="3" t="s">
        <v>11</v>
      </c>
      <c r="B545" s="3" t="s">
        <v>11</v>
      </c>
      <c r="C545" s="3" t="s">
        <v>11</v>
      </c>
      <c r="D545" s="5">
        <f>SUBTOTAL(9, D543:D544)</f>
        <v>0</v>
      </c>
      <c r="E545" s="3" t="s">
        <v>11</v>
      </c>
      <c r="F545" s="5">
        <f>SUBTOTAL(9, F543:F544)</f>
        <v>1000</v>
      </c>
      <c r="G545" s="5">
        <f>SUBTOTAL(9, G543:G544)</f>
        <v>0</v>
      </c>
      <c r="H545" s="5">
        <f>SUBTOTAL(9, H543:H544)</f>
        <v>1000</v>
      </c>
      <c r="I545" s="5">
        <f>IF(F545&lt;&gt;0, ((F545-G545)/F545)*100, 0)</f>
        <v>100</v>
      </c>
    </row>
    <row r="546" spans="1:9" customFormat="1" ht="14.5" x14ac:dyDescent="0.35">
      <c r="D546" s="10"/>
      <c r="F546" s="10"/>
      <c r="G546" s="10"/>
      <c r="H546" s="10"/>
      <c r="I546" s="10"/>
    </row>
    <row r="547" spans="1:9" x14ac:dyDescent="0.25">
      <c r="A547" s="2" t="s">
        <v>282</v>
      </c>
      <c r="B547" s="2" t="s">
        <v>283</v>
      </c>
      <c r="C547" s="2" t="s">
        <v>11</v>
      </c>
      <c r="E547" s="2" t="s">
        <v>11</v>
      </c>
      <c r="F547" s="6">
        <v>2000</v>
      </c>
      <c r="H547" s="6">
        <f>F547-G547</f>
        <v>2000</v>
      </c>
      <c r="I547" s="6">
        <f>IF(F547&lt;&gt;0, ((F547-G547)/F547)*100, 0)</f>
        <v>100</v>
      </c>
    </row>
    <row r="548" spans="1:9" customFormat="1" ht="14.5" x14ac:dyDescent="0.35">
      <c r="D548" s="10"/>
      <c r="F548" s="10"/>
      <c r="G548" s="10"/>
      <c r="H548" s="10"/>
      <c r="I548" s="10"/>
    </row>
    <row r="549" spans="1:9" s="4" customFormat="1" x14ac:dyDescent="0.25">
      <c r="A549" s="3" t="s">
        <v>11</v>
      </c>
      <c r="B549" s="3" t="s">
        <v>11</v>
      </c>
      <c r="C549" s="3" t="s">
        <v>11</v>
      </c>
      <c r="D549" s="5">
        <f>SUBTOTAL(9, D547:D548)</f>
        <v>0</v>
      </c>
      <c r="E549" s="3" t="s">
        <v>11</v>
      </c>
      <c r="F549" s="5">
        <f>SUBTOTAL(9, F547:F548)</f>
        <v>2000</v>
      </c>
      <c r="G549" s="5">
        <f>SUBTOTAL(9, G547:G548)</f>
        <v>0</v>
      </c>
      <c r="H549" s="5">
        <f>SUBTOTAL(9, H547:H548)</f>
        <v>2000</v>
      </c>
      <c r="I549" s="5">
        <f>IF(F549&lt;&gt;0, ((F549-G549)/F549)*100, 0)</f>
        <v>100</v>
      </c>
    </row>
    <row r="550" spans="1:9" customFormat="1" ht="14.5" x14ac:dyDescent="0.35">
      <c r="D550" s="10"/>
      <c r="F550" s="10"/>
      <c r="G550" s="10"/>
      <c r="H550" s="10"/>
      <c r="I550" s="10"/>
    </row>
    <row r="551" spans="1:9" x14ac:dyDescent="0.25">
      <c r="A551" s="2" t="s">
        <v>284</v>
      </c>
      <c r="B551" s="2" t="s">
        <v>285</v>
      </c>
      <c r="C551" s="2" t="s">
        <v>11</v>
      </c>
      <c r="E551" s="2" t="s">
        <v>11</v>
      </c>
      <c r="F551" s="6">
        <v>3500</v>
      </c>
      <c r="H551" s="6">
        <f>F551-G551</f>
        <v>3500</v>
      </c>
      <c r="I551" s="6">
        <f>IF(F551&lt;&gt;0, ((F551-G551)/F551)*100, 0)</f>
        <v>100</v>
      </c>
    </row>
    <row r="552" spans="1:9" customFormat="1" ht="14.5" x14ac:dyDescent="0.35">
      <c r="D552" s="10"/>
      <c r="F552" s="10"/>
      <c r="G552" s="10"/>
      <c r="H552" s="10"/>
      <c r="I552" s="10"/>
    </row>
    <row r="553" spans="1:9" s="4" customFormat="1" x14ac:dyDescent="0.25">
      <c r="A553" s="3" t="s">
        <v>11</v>
      </c>
      <c r="B553" s="3" t="s">
        <v>11</v>
      </c>
      <c r="C553" s="3" t="s">
        <v>11</v>
      </c>
      <c r="D553" s="5">
        <f>SUBTOTAL(9, D551:D552)</f>
        <v>0</v>
      </c>
      <c r="E553" s="3" t="s">
        <v>11</v>
      </c>
      <c r="F553" s="5">
        <f>SUBTOTAL(9, F551:F552)</f>
        <v>3500</v>
      </c>
      <c r="G553" s="5">
        <f>SUBTOTAL(9, G551:G552)</f>
        <v>0</v>
      </c>
      <c r="H553" s="5">
        <f>SUBTOTAL(9, H551:H552)</f>
        <v>3500</v>
      </c>
      <c r="I553" s="5">
        <f>IF(F553&lt;&gt;0, ((F553-G553)/F553)*100, 0)</f>
        <v>100</v>
      </c>
    </row>
    <row r="554" spans="1:9" customFormat="1" ht="14.5" x14ac:dyDescent="0.35">
      <c r="D554" s="10"/>
      <c r="F554" s="10"/>
      <c r="G554" s="10"/>
      <c r="H554" s="10"/>
      <c r="I554" s="10"/>
    </row>
    <row r="555" spans="1:9" x14ac:dyDescent="0.25">
      <c r="A555" s="2" t="s">
        <v>286</v>
      </c>
      <c r="B555" s="2" t="s">
        <v>287</v>
      </c>
      <c r="C555" s="2" t="s">
        <v>11</v>
      </c>
      <c r="E555" s="2" t="s">
        <v>11</v>
      </c>
      <c r="F555" s="6">
        <v>7000</v>
      </c>
      <c r="H555" s="6">
        <f>F555-G555</f>
        <v>7000</v>
      </c>
      <c r="I555" s="6">
        <f>IF(F555&lt;&gt;0, ((F555-G555)/F555)*100, 0)</f>
        <v>100</v>
      </c>
    </row>
    <row r="556" spans="1:9" customFormat="1" ht="14.5" x14ac:dyDescent="0.35">
      <c r="D556" s="10"/>
      <c r="F556" s="10"/>
      <c r="G556" s="10"/>
      <c r="H556" s="10"/>
      <c r="I556" s="10"/>
    </row>
    <row r="557" spans="1:9" s="4" customFormat="1" x14ac:dyDescent="0.25">
      <c r="A557" s="3" t="s">
        <v>11</v>
      </c>
      <c r="B557" s="3" t="s">
        <v>11</v>
      </c>
      <c r="C557" s="3" t="s">
        <v>11</v>
      </c>
      <c r="D557" s="5">
        <f>SUBTOTAL(9, D555:D556)</f>
        <v>0</v>
      </c>
      <c r="E557" s="3" t="s">
        <v>11</v>
      </c>
      <c r="F557" s="5">
        <f>SUBTOTAL(9, F555:F556)</f>
        <v>7000</v>
      </c>
      <c r="G557" s="5">
        <f>SUBTOTAL(9, G555:G556)</f>
        <v>0</v>
      </c>
      <c r="H557" s="5">
        <f>SUBTOTAL(9, H555:H556)</f>
        <v>7000</v>
      </c>
      <c r="I557" s="5">
        <f>IF(F557&lt;&gt;0, ((F557-G557)/F557)*100, 0)</f>
        <v>100</v>
      </c>
    </row>
    <row r="558" spans="1:9" customFormat="1" ht="14.5" x14ac:dyDescent="0.35">
      <c r="D558" s="10"/>
      <c r="F558" s="10"/>
      <c r="G558" s="10"/>
      <c r="H558" s="10"/>
      <c r="I558" s="10"/>
    </row>
    <row r="559" spans="1:9" x14ac:dyDescent="0.25">
      <c r="A559" s="2" t="s">
        <v>288</v>
      </c>
      <c r="B559" s="2" t="s">
        <v>289</v>
      </c>
      <c r="C559" s="2" t="s">
        <v>11</v>
      </c>
      <c r="E559" s="2" t="s">
        <v>11</v>
      </c>
      <c r="F559" s="6">
        <v>8000</v>
      </c>
      <c r="H559" s="6">
        <f>F559-G559</f>
        <v>8000</v>
      </c>
      <c r="I559" s="6">
        <f>IF(F559&lt;&gt;0, ((F559-G559)/F559)*100, 0)</f>
        <v>100</v>
      </c>
    </row>
    <row r="560" spans="1:9" customFormat="1" ht="14.5" x14ac:dyDescent="0.35">
      <c r="D560" s="10"/>
      <c r="F560" s="10"/>
      <c r="G560" s="10"/>
      <c r="H560" s="10"/>
      <c r="I560" s="10"/>
    </row>
    <row r="561" spans="1:9" s="4" customFormat="1" x14ac:dyDescent="0.25">
      <c r="A561" s="3" t="s">
        <v>11</v>
      </c>
      <c r="B561" s="3" t="s">
        <v>11</v>
      </c>
      <c r="C561" s="3" t="s">
        <v>11</v>
      </c>
      <c r="D561" s="5">
        <f>SUBTOTAL(9, D559:D560)</f>
        <v>0</v>
      </c>
      <c r="E561" s="3" t="s">
        <v>11</v>
      </c>
      <c r="F561" s="5">
        <f>SUBTOTAL(9, F559:F560)</f>
        <v>8000</v>
      </c>
      <c r="G561" s="5">
        <f>SUBTOTAL(9, G559:G560)</f>
        <v>0</v>
      </c>
      <c r="H561" s="5">
        <f>SUBTOTAL(9, H559:H560)</f>
        <v>8000</v>
      </c>
      <c r="I561" s="5">
        <f>IF(F561&lt;&gt;0, ((F561-G561)/F561)*100, 0)</f>
        <v>100</v>
      </c>
    </row>
    <row r="562" spans="1:9" customFormat="1" ht="14.5" x14ac:dyDescent="0.35">
      <c r="D562" s="10"/>
      <c r="F562" s="10"/>
      <c r="G562" s="10"/>
      <c r="H562" s="10"/>
      <c r="I562" s="10"/>
    </row>
    <row r="563" spans="1:9" x14ac:dyDescent="0.25">
      <c r="A563" s="2" t="s">
        <v>290</v>
      </c>
      <c r="B563" s="2" t="s">
        <v>291</v>
      </c>
      <c r="C563" s="2" t="s">
        <v>11</v>
      </c>
      <c r="E563" s="2" t="s">
        <v>11</v>
      </c>
      <c r="F563" s="6">
        <v>1000</v>
      </c>
      <c r="H563" s="6">
        <f>F563-G563</f>
        <v>1000</v>
      </c>
      <c r="I563" s="6">
        <f>IF(F563&lt;&gt;0, ((F563-G563)/F563)*100, 0)</f>
        <v>100</v>
      </c>
    </row>
    <row r="564" spans="1:9" customFormat="1" ht="14.5" x14ac:dyDescent="0.35">
      <c r="D564" s="10"/>
      <c r="F564" s="10"/>
      <c r="G564" s="10"/>
      <c r="H564" s="10"/>
      <c r="I564" s="10"/>
    </row>
    <row r="565" spans="1:9" s="4" customFormat="1" x14ac:dyDescent="0.25">
      <c r="A565" s="3" t="s">
        <v>11</v>
      </c>
      <c r="B565" s="3" t="s">
        <v>11</v>
      </c>
      <c r="C565" s="3" t="s">
        <v>11</v>
      </c>
      <c r="D565" s="5">
        <f>SUBTOTAL(9, D563:D564)</f>
        <v>0</v>
      </c>
      <c r="E565" s="3" t="s">
        <v>11</v>
      </c>
      <c r="F565" s="5">
        <f>SUBTOTAL(9, F563:F564)</f>
        <v>1000</v>
      </c>
      <c r="G565" s="5">
        <f>SUBTOTAL(9, G563:G564)</f>
        <v>0</v>
      </c>
      <c r="H565" s="5">
        <f>SUBTOTAL(9, H563:H564)</f>
        <v>1000</v>
      </c>
      <c r="I565" s="5">
        <f>IF(F565&lt;&gt;0, ((F565-G565)/F565)*100, 0)</f>
        <v>100</v>
      </c>
    </row>
    <row r="566" spans="1:9" customFormat="1" ht="14.5" x14ac:dyDescent="0.35">
      <c r="D566" s="10"/>
      <c r="F566" s="10"/>
      <c r="G566" s="10"/>
      <c r="H566" s="10"/>
      <c r="I566" s="10"/>
    </row>
    <row r="567" spans="1:9" x14ac:dyDescent="0.25">
      <c r="A567" s="2" t="s">
        <v>292</v>
      </c>
      <c r="B567" s="2" t="s">
        <v>293</v>
      </c>
      <c r="C567" s="2" t="s">
        <v>11</v>
      </c>
      <c r="E567" s="2" t="s">
        <v>11</v>
      </c>
      <c r="F567" s="6">
        <v>19000</v>
      </c>
      <c r="H567" s="6">
        <f>F567-G567</f>
        <v>19000</v>
      </c>
      <c r="I567" s="6">
        <f>IF(F567&lt;&gt;0, ((F567-G567)/F567)*100, 0)</f>
        <v>100</v>
      </c>
    </row>
    <row r="568" spans="1:9" customFormat="1" ht="14.5" x14ac:dyDescent="0.35">
      <c r="D568" s="10"/>
      <c r="F568" s="10"/>
      <c r="G568" s="10"/>
      <c r="H568" s="10"/>
      <c r="I568" s="10"/>
    </row>
    <row r="569" spans="1:9" s="4" customFormat="1" x14ac:dyDescent="0.25">
      <c r="A569" s="3" t="s">
        <v>11</v>
      </c>
      <c r="B569" s="3" t="s">
        <v>11</v>
      </c>
      <c r="C569" s="3" t="s">
        <v>11</v>
      </c>
      <c r="D569" s="5">
        <f>SUBTOTAL(9, D567:D568)</f>
        <v>0</v>
      </c>
      <c r="E569" s="3" t="s">
        <v>11</v>
      </c>
      <c r="F569" s="5">
        <f>SUBTOTAL(9, F567:F568)</f>
        <v>19000</v>
      </c>
      <c r="G569" s="5">
        <f>SUBTOTAL(9, G567:G568)</f>
        <v>0</v>
      </c>
      <c r="H569" s="5">
        <f>SUBTOTAL(9, H567:H568)</f>
        <v>19000</v>
      </c>
      <c r="I569" s="5">
        <f>IF(F569&lt;&gt;0, ((F569-G569)/F569)*100, 0)</f>
        <v>100</v>
      </c>
    </row>
    <row r="570" spans="1:9" customFormat="1" ht="14.5" x14ac:dyDescent="0.35">
      <c r="D570" s="10"/>
      <c r="F570" s="10"/>
      <c r="G570" s="10"/>
      <c r="H570" s="10"/>
      <c r="I570" s="10"/>
    </row>
    <row r="571" spans="1:9" x14ac:dyDescent="0.25">
      <c r="A571" s="2" t="s">
        <v>294</v>
      </c>
      <c r="B571" s="2" t="s">
        <v>295</v>
      </c>
      <c r="C571" s="2" t="s">
        <v>11</v>
      </c>
      <c r="E571" s="2" t="s">
        <v>11</v>
      </c>
      <c r="F571" s="6">
        <v>400000</v>
      </c>
      <c r="H571" s="6">
        <f>F571-G571</f>
        <v>400000</v>
      </c>
      <c r="I571" s="6">
        <f>IF(F571&lt;&gt;0, ((F571-G571)/F571)*100, 0)</f>
        <v>100</v>
      </c>
    </row>
    <row r="572" spans="1:9" customFormat="1" ht="14.5" x14ac:dyDescent="0.35">
      <c r="D572" s="10"/>
      <c r="F572" s="10"/>
      <c r="G572" s="10"/>
      <c r="H572" s="10"/>
      <c r="I572" s="10"/>
    </row>
    <row r="573" spans="1:9" s="4" customFormat="1" x14ac:dyDescent="0.25">
      <c r="A573" s="3" t="s">
        <v>11</v>
      </c>
      <c r="B573" s="3" t="s">
        <v>11</v>
      </c>
      <c r="C573" s="3" t="s">
        <v>11</v>
      </c>
      <c r="D573" s="5">
        <f>SUBTOTAL(9, D571:D572)</f>
        <v>0</v>
      </c>
      <c r="E573" s="3" t="s">
        <v>11</v>
      </c>
      <c r="F573" s="5">
        <f>SUBTOTAL(9, F571:F572)</f>
        <v>400000</v>
      </c>
      <c r="G573" s="5">
        <f>SUBTOTAL(9, G571:G572)</f>
        <v>0</v>
      </c>
      <c r="H573" s="5">
        <f>SUBTOTAL(9, H571:H572)</f>
        <v>400000</v>
      </c>
      <c r="I573" s="5">
        <f>IF(F573&lt;&gt;0, ((F573-G573)/F573)*100, 0)</f>
        <v>100</v>
      </c>
    </row>
    <row r="574" spans="1:9" customFormat="1" ht="14.5" x14ac:dyDescent="0.35">
      <c r="D574" s="10"/>
      <c r="F574" s="10"/>
      <c r="G574" s="10"/>
      <c r="H574" s="10"/>
      <c r="I574" s="10"/>
    </row>
    <row r="575" spans="1:9" x14ac:dyDescent="0.25">
      <c r="A575" s="2" t="s">
        <v>296</v>
      </c>
      <c r="B575" s="2" t="s">
        <v>297</v>
      </c>
      <c r="C575" s="2" t="s">
        <v>11</v>
      </c>
      <c r="E575" s="2" t="s">
        <v>11</v>
      </c>
      <c r="F575" s="6">
        <v>17485689.440000001</v>
      </c>
      <c r="H575" s="6">
        <f>F575-G575</f>
        <v>17485689.440000001</v>
      </c>
      <c r="I575" s="6">
        <f>IF(F575&lt;&gt;0, ((F575-G575)/F575)*100, 0)</f>
        <v>100</v>
      </c>
    </row>
    <row r="576" spans="1:9" x14ac:dyDescent="0.25">
      <c r="A576" s="2" t="s">
        <v>296</v>
      </c>
      <c r="B576" s="2" t="s">
        <v>297</v>
      </c>
      <c r="C576" s="2" t="s">
        <v>11</v>
      </c>
      <c r="E576" s="2" t="s">
        <v>11</v>
      </c>
      <c r="F576" s="6">
        <v>11968.13</v>
      </c>
      <c r="H576" s="6">
        <f>F576-G576</f>
        <v>11968.13</v>
      </c>
      <c r="I576" s="6">
        <f>IF(F576&lt;&gt;0, ((F576-G576)/F576)*100, 0)</f>
        <v>100</v>
      </c>
    </row>
    <row r="577" spans="1:9" x14ac:dyDescent="0.25">
      <c r="A577" s="2" t="s">
        <v>296</v>
      </c>
      <c r="B577" s="2" t="s">
        <v>297</v>
      </c>
      <c r="C577" s="2" t="s">
        <v>11</v>
      </c>
      <c r="E577" s="2" t="s">
        <v>11</v>
      </c>
      <c r="F577" s="6">
        <v>4757191.8600000003</v>
      </c>
      <c r="H577" s="6">
        <f>F577-G577</f>
        <v>4757191.8600000003</v>
      </c>
      <c r="I577" s="6">
        <f>IF(F577&lt;&gt;0, ((F577-G577)/F577)*100, 0)</f>
        <v>100</v>
      </c>
    </row>
    <row r="578" spans="1:9" x14ac:dyDescent="0.25">
      <c r="A578" s="2" t="s">
        <v>296</v>
      </c>
      <c r="B578" s="2" t="s">
        <v>297</v>
      </c>
      <c r="C578" s="2" t="s">
        <v>11</v>
      </c>
      <c r="E578" s="2" t="s">
        <v>11</v>
      </c>
      <c r="F578" s="6">
        <v>132639.34</v>
      </c>
      <c r="H578" s="6">
        <f>F578-G578</f>
        <v>132639.34</v>
      </c>
      <c r="I578" s="6">
        <f>IF(F578&lt;&gt;0, ((F578-G578)/F578)*100, 0)</f>
        <v>100</v>
      </c>
    </row>
    <row r="579" spans="1:9" x14ac:dyDescent="0.25">
      <c r="A579" s="2" t="s">
        <v>296</v>
      </c>
      <c r="B579" s="2" t="s">
        <v>297</v>
      </c>
      <c r="C579" s="2" t="s">
        <v>11</v>
      </c>
      <c r="E579" s="2" t="s">
        <v>11</v>
      </c>
      <c r="F579" s="6">
        <v>14625</v>
      </c>
      <c r="H579" s="6">
        <f>F579-G579</f>
        <v>14625</v>
      </c>
      <c r="I579" s="6">
        <f>IF(F579&lt;&gt;0, ((F579-G579)/F579)*100, 0)</f>
        <v>100</v>
      </c>
    </row>
    <row r="580" spans="1:9" x14ac:dyDescent="0.25">
      <c r="A580" s="2" t="s">
        <v>296</v>
      </c>
      <c r="B580" s="2" t="s">
        <v>297</v>
      </c>
      <c r="C580" s="2" t="s">
        <v>11</v>
      </c>
      <c r="E580" s="2" t="s">
        <v>11</v>
      </c>
      <c r="F580" s="6">
        <v>21353.31</v>
      </c>
      <c r="H580" s="6">
        <f>F580-G580</f>
        <v>21353.31</v>
      </c>
      <c r="I580" s="6">
        <f>IF(F580&lt;&gt;0, ((F580-G580)/F580)*100, 0)</f>
        <v>100</v>
      </c>
    </row>
    <row r="581" spans="1:9" x14ac:dyDescent="0.25">
      <c r="A581" s="2" t="s">
        <v>296</v>
      </c>
      <c r="B581" s="2" t="s">
        <v>297</v>
      </c>
      <c r="C581" s="2" t="s">
        <v>11</v>
      </c>
      <c r="E581" s="2" t="s">
        <v>11</v>
      </c>
      <c r="F581" s="6">
        <v>93235</v>
      </c>
      <c r="H581" s="6">
        <f>F581-G581</f>
        <v>93235</v>
      </c>
      <c r="I581" s="6">
        <f>IF(F581&lt;&gt;0, ((F581-G581)/F581)*100, 0)</f>
        <v>100</v>
      </c>
    </row>
    <row r="582" spans="1:9" x14ac:dyDescent="0.25">
      <c r="A582" s="2" t="s">
        <v>296</v>
      </c>
      <c r="B582" s="2" t="s">
        <v>297</v>
      </c>
      <c r="C582" s="2" t="s">
        <v>11</v>
      </c>
      <c r="E582" s="2" t="s">
        <v>11</v>
      </c>
      <c r="F582" s="6">
        <v>75275.509999999995</v>
      </c>
      <c r="H582" s="6">
        <f>F582-G582</f>
        <v>75275.509999999995</v>
      </c>
      <c r="I582" s="6">
        <f>IF(F582&lt;&gt;0, ((F582-G582)/F582)*100, 0)</f>
        <v>100</v>
      </c>
    </row>
    <row r="583" spans="1:9" customFormat="1" ht="14.5" x14ac:dyDescent="0.35">
      <c r="D583" s="10"/>
      <c r="F583" s="10"/>
      <c r="G583" s="10"/>
      <c r="H583" s="10"/>
      <c r="I583" s="10"/>
    </row>
    <row r="584" spans="1:9" s="4" customFormat="1" x14ac:dyDescent="0.25">
      <c r="A584" s="3" t="s">
        <v>11</v>
      </c>
      <c r="B584" s="3" t="s">
        <v>11</v>
      </c>
      <c r="C584" s="3" t="s">
        <v>11</v>
      </c>
      <c r="D584" s="5">
        <f>SUBTOTAL(9, D575:D583)</f>
        <v>0</v>
      </c>
      <c r="E584" s="3" t="s">
        <v>11</v>
      </c>
      <c r="F584" s="5">
        <f>SUBTOTAL(9, F575:F583)</f>
        <v>22591977.59</v>
      </c>
      <c r="G584" s="5">
        <f>SUBTOTAL(9, G575:G583)</f>
        <v>0</v>
      </c>
      <c r="H584" s="5">
        <f>SUBTOTAL(9, H575:H583)</f>
        <v>22591977.59</v>
      </c>
      <c r="I584" s="5">
        <f>IF(F584&lt;&gt;0, ((F584-G584)/F584)*100, 0)</f>
        <v>100</v>
      </c>
    </row>
    <row r="585" spans="1:9" customFormat="1" ht="14.5" x14ac:dyDescent="0.35">
      <c r="D585" s="10"/>
      <c r="F585" s="10"/>
      <c r="G585" s="10"/>
      <c r="H585" s="10"/>
      <c r="I585" s="10"/>
    </row>
    <row r="586" spans="1:9" x14ac:dyDescent="0.25">
      <c r="A586" s="2" t="s">
        <v>298</v>
      </c>
      <c r="B586" s="2" t="s">
        <v>299</v>
      </c>
      <c r="C586" s="2" t="s">
        <v>11</v>
      </c>
      <c r="E586" s="2" t="s">
        <v>11</v>
      </c>
      <c r="F586" s="6">
        <v>1317709.3999999999</v>
      </c>
      <c r="H586" s="6">
        <f>F586-G586</f>
        <v>1317709.3999999999</v>
      </c>
      <c r="I586" s="6">
        <f>IF(F586&lt;&gt;0, ((F586-G586)/F586)*100, 0)</f>
        <v>100</v>
      </c>
    </row>
    <row r="587" spans="1:9" customFormat="1" ht="14.5" x14ac:dyDescent="0.35">
      <c r="D587" s="10"/>
      <c r="F587" s="10"/>
      <c r="G587" s="10"/>
      <c r="H587" s="10"/>
      <c r="I587" s="10"/>
    </row>
    <row r="588" spans="1:9" s="4" customFormat="1" x14ac:dyDescent="0.25">
      <c r="A588" s="3" t="s">
        <v>11</v>
      </c>
      <c r="B588" s="3" t="s">
        <v>11</v>
      </c>
      <c r="C588" s="3" t="s">
        <v>11</v>
      </c>
      <c r="D588" s="5">
        <f>SUBTOTAL(9, D586:D587)</f>
        <v>0</v>
      </c>
      <c r="E588" s="3" t="s">
        <v>11</v>
      </c>
      <c r="F588" s="5">
        <f>SUBTOTAL(9, F586:F587)</f>
        <v>1317709.3999999999</v>
      </c>
      <c r="G588" s="5">
        <f>SUBTOTAL(9, G586:G587)</f>
        <v>0</v>
      </c>
      <c r="H588" s="5">
        <f>SUBTOTAL(9, H586:H587)</f>
        <v>1317709.3999999999</v>
      </c>
      <c r="I588" s="5">
        <f>IF(F588&lt;&gt;0, ((F588-G588)/F588)*100, 0)</f>
        <v>100</v>
      </c>
    </row>
    <row r="589" spans="1:9" customFormat="1" ht="14.5" x14ac:dyDescent="0.35">
      <c r="D589" s="10"/>
      <c r="F589" s="10"/>
      <c r="G589" s="10"/>
      <c r="H589" s="10"/>
      <c r="I589" s="10"/>
    </row>
    <row r="590" spans="1:9" x14ac:dyDescent="0.25">
      <c r="A590" s="2" t="s">
        <v>300</v>
      </c>
      <c r="B590" s="2" t="s">
        <v>301</v>
      </c>
      <c r="C590" s="2" t="s">
        <v>11</v>
      </c>
      <c r="E590" s="2" t="s">
        <v>11</v>
      </c>
      <c r="F590" s="6">
        <v>12968802</v>
      </c>
      <c r="H590" s="6">
        <f>F590-G590</f>
        <v>12968802</v>
      </c>
      <c r="I590" s="6">
        <f>IF(F590&lt;&gt;0, ((F590-G590)/F590)*100, 0)</f>
        <v>100</v>
      </c>
    </row>
    <row r="591" spans="1:9" x14ac:dyDescent="0.25">
      <c r="A591" s="2" t="s">
        <v>300</v>
      </c>
      <c r="B591" s="2" t="s">
        <v>301</v>
      </c>
      <c r="C591" s="2" t="s">
        <v>11</v>
      </c>
      <c r="E591" s="2" t="s">
        <v>11</v>
      </c>
      <c r="F591" s="6">
        <v>480225</v>
      </c>
      <c r="H591" s="6">
        <f>F591-G591</f>
        <v>480225</v>
      </c>
      <c r="I591" s="6">
        <f>IF(F591&lt;&gt;0, ((F591-G591)/F591)*100, 0)</f>
        <v>100</v>
      </c>
    </row>
    <row r="592" spans="1:9" x14ac:dyDescent="0.25">
      <c r="A592" s="2" t="s">
        <v>300</v>
      </c>
      <c r="B592" s="2" t="s">
        <v>301</v>
      </c>
      <c r="C592" s="2" t="s">
        <v>11</v>
      </c>
      <c r="E592" s="2" t="s">
        <v>11</v>
      </c>
      <c r="F592" s="6">
        <v>332712</v>
      </c>
      <c r="H592" s="6">
        <f>F592-G592</f>
        <v>332712</v>
      </c>
      <c r="I592" s="6">
        <f>IF(F592&lt;&gt;0, ((F592-G592)/F592)*100, 0)</f>
        <v>100</v>
      </c>
    </row>
    <row r="593" spans="1:9" x14ac:dyDescent="0.25">
      <c r="A593" s="2" t="s">
        <v>300</v>
      </c>
      <c r="B593" s="2" t="s">
        <v>301</v>
      </c>
      <c r="C593" s="2" t="s">
        <v>11</v>
      </c>
      <c r="E593" s="2" t="s">
        <v>11</v>
      </c>
      <c r="F593" s="6">
        <v>10762735.6</v>
      </c>
      <c r="H593" s="6">
        <f>F593-G593</f>
        <v>10762735.6</v>
      </c>
      <c r="I593" s="6">
        <f>IF(F593&lt;&gt;0, ((F593-G593)/F593)*100, 0)</f>
        <v>100</v>
      </c>
    </row>
    <row r="594" spans="1:9" x14ac:dyDescent="0.25">
      <c r="A594" s="2" t="s">
        <v>300</v>
      </c>
      <c r="B594" s="2" t="s">
        <v>301</v>
      </c>
      <c r="C594" s="2" t="s">
        <v>11</v>
      </c>
      <c r="E594" s="2" t="s">
        <v>11</v>
      </c>
      <c r="F594" s="6">
        <v>236565</v>
      </c>
      <c r="H594" s="6">
        <f>F594-G594</f>
        <v>236565</v>
      </c>
      <c r="I594" s="6">
        <f>IF(F594&lt;&gt;0, ((F594-G594)/F594)*100, 0)</f>
        <v>100</v>
      </c>
    </row>
    <row r="595" spans="1:9" x14ac:dyDescent="0.25">
      <c r="A595" s="2" t="s">
        <v>300</v>
      </c>
      <c r="B595" s="2" t="s">
        <v>301</v>
      </c>
      <c r="C595" s="2" t="s">
        <v>11</v>
      </c>
      <c r="E595" s="2" t="s">
        <v>11</v>
      </c>
      <c r="F595" s="6">
        <v>219894</v>
      </c>
      <c r="H595" s="6">
        <f>F595-G595</f>
        <v>219894</v>
      </c>
      <c r="I595" s="6">
        <f>IF(F595&lt;&gt;0, ((F595-G595)/F595)*100, 0)</f>
        <v>100</v>
      </c>
    </row>
    <row r="596" spans="1:9" customFormat="1" ht="14.5" x14ac:dyDescent="0.35">
      <c r="D596" s="10"/>
      <c r="F596" s="10"/>
      <c r="G596" s="10"/>
      <c r="H596" s="10"/>
      <c r="I596" s="10"/>
    </row>
    <row r="597" spans="1:9" s="4" customFormat="1" x14ac:dyDescent="0.25">
      <c r="A597" s="3" t="s">
        <v>11</v>
      </c>
      <c r="B597" s="3" t="s">
        <v>11</v>
      </c>
      <c r="C597" s="3" t="s">
        <v>11</v>
      </c>
      <c r="D597" s="5">
        <f>SUBTOTAL(9, D590:D596)</f>
        <v>0</v>
      </c>
      <c r="E597" s="3" t="s">
        <v>11</v>
      </c>
      <c r="F597" s="5">
        <f>SUBTOTAL(9, F590:F596)</f>
        <v>25000933.600000001</v>
      </c>
      <c r="G597" s="5">
        <f>SUBTOTAL(9, G590:G596)</f>
        <v>0</v>
      </c>
      <c r="H597" s="5">
        <f>SUBTOTAL(9, H590:H596)</f>
        <v>25000933.600000001</v>
      </c>
      <c r="I597" s="5">
        <f>IF(F597&lt;&gt;0, ((F597-G597)/F597)*100, 0)</f>
        <v>100</v>
      </c>
    </row>
    <row r="598" spans="1:9" customFormat="1" ht="14.5" x14ac:dyDescent="0.35">
      <c r="D598" s="10"/>
      <c r="F598" s="10"/>
      <c r="G598" s="10"/>
      <c r="H598" s="10"/>
      <c r="I598" s="10"/>
    </row>
    <row r="599" spans="1:9" x14ac:dyDescent="0.25">
      <c r="A599" s="2" t="s">
        <v>302</v>
      </c>
      <c r="B599" s="2" t="s">
        <v>303</v>
      </c>
      <c r="C599" s="2" t="s">
        <v>11</v>
      </c>
      <c r="E599" s="2" t="s">
        <v>11</v>
      </c>
      <c r="F599" s="6">
        <v>32171518.899999999</v>
      </c>
      <c r="H599" s="6">
        <f>F599-G599</f>
        <v>32171518.899999999</v>
      </c>
      <c r="I599" s="6">
        <f>IF(F599&lt;&gt;0, ((F599-G599)/F599)*100, 0)</f>
        <v>100</v>
      </c>
    </row>
    <row r="600" spans="1:9" customFormat="1" ht="14.5" x14ac:dyDescent="0.35">
      <c r="D600" s="10"/>
      <c r="F600" s="10"/>
      <c r="G600" s="10"/>
      <c r="H600" s="10"/>
      <c r="I600" s="10"/>
    </row>
    <row r="601" spans="1:9" s="4" customFormat="1" x14ac:dyDescent="0.25">
      <c r="A601" s="3" t="s">
        <v>11</v>
      </c>
      <c r="B601" s="3" t="s">
        <v>11</v>
      </c>
      <c r="C601" s="3" t="s">
        <v>11</v>
      </c>
      <c r="D601" s="5">
        <f>SUBTOTAL(9, D599:D600)</f>
        <v>0</v>
      </c>
      <c r="E601" s="3" t="s">
        <v>11</v>
      </c>
      <c r="F601" s="5">
        <f>SUBTOTAL(9, F599:F600)</f>
        <v>32171518.899999999</v>
      </c>
      <c r="G601" s="5">
        <f>SUBTOTAL(9, G599:G600)</f>
        <v>0</v>
      </c>
      <c r="H601" s="5">
        <f>SUBTOTAL(9, H599:H600)</f>
        <v>32171518.899999999</v>
      </c>
      <c r="I601" s="5">
        <f>IF(F601&lt;&gt;0, ((F601-G601)/F601)*100, 0)</f>
        <v>100</v>
      </c>
    </row>
    <row r="602" spans="1:9" customFormat="1" ht="14.5" x14ac:dyDescent="0.35">
      <c r="D602" s="10"/>
      <c r="F602" s="10"/>
      <c r="G602" s="10"/>
      <c r="H602" s="10"/>
      <c r="I602" s="10"/>
    </row>
    <row r="603" spans="1:9" x14ac:dyDescent="0.25">
      <c r="A603" s="2" t="s">
        <v>304</v>
      </c>
      <c r="B603" s="2" t="s">
        <v>305</v>
      </c>
      <c r="C603" s="2" t="s">
        <v>11</v>
      </c>
      <c r="E603" s="2" t="s">
        <v>11</v>
      </c>
      <c r="F603" s="6">
        <v>97702</v>
      </c>
      <c r="H603" s="6">
        <f>F603-G603</f>
        <v>97702</v>
      </c>
      <c r="I603" s="6">
        <f>IF(F603&lt;&gt;0, ((F603-G603)/F603)*100, 0)</f>
        <v>100</v>
      </c>
    </row>
    <row r="604" spans="1:9" x14ac:dyDescent="0.25">
      <c r="A604" s="2" t="s">
        <v>304</v>
      </c>
      <c r="B604" s="2" t="s">
        <v>305</v>
      </c>
      <c r="C604" s="2" t="s">
        <v>11</v>
      </c>
      <c r="E604" s="2" t="s">
        <v>11</v>
      </c>
      <c r="F604" s="6">
        <v>3579158.99</v>
      </c>
      <c r="H604" s="6">
        <f>F604-G604</f>
        <v>3579158.99</v>
      </c>
      <c r="I604" s="6">
        <f>IF(F604&lt;&gt;0, ((F604-G604)/F604)*100, 0)</f>
        <v>100</v>
      </c>
    </row>
    <row r="605" spans="1:9" customFormat="1" ht="14.5" x14ac:dyDescent="0.35">
      <c r="D605" s="10"/>
      <c r="F605" s="10"/>
      <c r="G605" s="10"/>
      <c r="H605" s="10"/>
      <c r="I605" s="10"/>
    </row>
    <row r="606" spans="1:9" s="4" customFormat="1" x14ac:dyDescent="0.25">
      <c r="A606" s="3" t="s">
        <v>11</v>
      </c>
      <c r="B606" s="3" t="s">
        <v>11</v>
      </c>
      <c r="C606" s="3" t="s">
        <v>11</v>
      </c>
      <c r="D606" s="5">
        <f>SUBTOTAL(9, D603:D605)</f>
        <v>0</v>
      </c>
      <c r="E606" s="3" t="s">
        <v>11</v>
      </c>
      <c r="F606" s="5">
        <f>SUBTOTAL(9, F603:F605)</f>
        <v>3676860.99</v>
      </c>
      <c r="G606" s="5">
        <f>SUBTOTAL(9, G603:G605)</f>
        <v>0</v>
      </c>
      <c r="H606" s="5">
        <f>SUBTOTAL(9, H603:H605)</f>
        <v>3676860.99</v>
      </c>
      <c r="I606" s="5">
        <f>IF(F606&lt;&gt;0, ((F606-G606)/F606)*100, 0)</f>
        <v>100</v>
      </c>
    </row>
    <row r="607" spans="1:9" customFormat="1" ht="14.5" x14ac:dyDescent="0.35">
      <c r="D607" s="10"/>
      <c r="F607" s="10"/>
      <c r="G607" s="10"/>
      <c r="H607" s="10"/>
      <c r="I607" s="10"/>
    </row>
    <row r="608" spans="1:9" x14ac:dyDescent="0.25">
      <c r="A608" s="2" t="s">
        <v>306</v>
      </c>
      <c r="B608" s="2" t="s">
        <v>307</v>
      </c>
      <c r="C608" s="2" t="s">
        <v>11</v>
      </c>
      <c r="E608" s="2" t="s">
        <v>11</v>
      </c>
      <c r="F608" s="6">
        <v>97620</v>
      </c>
      <c r="H608" s="6">
        <f>F608-G608</f>
        <v>97620</v>
      </c>
      <c r="I608" s="6">
        <f>IF(F608&lt;&gt;0, ((F608-G608)/F608)*100, 0)</f>
        <v>100</v>
      </c>
    </row>
    <row r="609" spans="1:9" customFormat="1" ht="14.5" x14ac:dyDescent="0.35">
      <c r="D609" s="10"/>
      <c r="F609" s="10"/>
      <c r="G609" s="10"/>
      <c r="H609" s="10"/>
      <c r="I609" s="10"/>
    </row>
    <row r="610" spans="1:9" s="4" customFormat="1" x14ac:dyDescent="0.25">
      <c r="A610" s="3" t="s">
        <v>11</v>
      </c>
      <c r="B610" s="3" t="s">
        <v>11</v>
      </c>
      <c r="C610" s="3" t="s">
        <v>11</v>
      </c>
      <c r="D610" s="5">
        <f>SUBTOTAL(9, D608:D609)</f>
        <v>0</v>
      </c>
      <c r="E610" s="3" t="s">
        <v>11</v>
      </c>
      <c r="F610" s="5">
        <f>SUBTOTAL(9, F608:F609)</f>
        <v>97620</v>
      </c>
      <c r="G610" s="5">
        <f>SUBTOTAL(9, G608:G609)</f>
        <v>0</v>
      </c>
      <c r="H610" s="5">
        <f>SUBTOTAL(9, H608:H609)</f>
        <v>97620</v>
      </c>
      <c r="I610" s="5">
        <f>IF(F610&lt;&gt;0, ((F610-G610)/F610)*100, 0)</f>
        <v>100</v>
      </c>
    </row>
    <row r="611" spans="1:9" customFormat="1" ht="14.5" x14ac:dyDescent="0.35">
      <c r="D611" s="10"/>
      <c r="F611" s="10"/>
      <c r="G611" s="10"/>
      <c r="H611" s="10"/>
      <c r="I611" s="10"/>
    </row>
    <row r="612" spans="1:9" x14ac:dyDescent="0.25">
      <c r="A612" s="2" t="s">
        <v>308</v>
      </c>
      <c r="B612" s="2" t="s">
        <v>309</v>
      </c>
      <c r="C612" s="2" t="s">
        <v>11</v>
      </c>
      <c r="E612" s="2" t="s">
        <v>11</v>
      </c>
      <c r="F612" s="6">
        <v>491421</v>
      </c>
      <c r="H612" s="6">
        <f>F612-G612</f>
        <v>491421</v>
      </c>
      <c r="I612" s="6">
        <f>IF(F612&lt;&gt;0, ((F612-G612)/F612)*100, 0)</f>
        <v>100</v>
      </c>
    </row>
    <row r="613" spans="1:9" x14ac:dyDescent="0.25">
      <c r="A613" s="2" t="s">
        <v>308</v>
      </c>
      <c r="B613" s="2" t="s">
        <v>309</v>
      </c>
      <c r="C613" s="2" t="s">
        <v>11</v>
      </c>
      <c r="E613" s="2" t="s">
        <v>11</v>
      </c>
      <c r="F613" s="6">
        <v>13657</v>
      </c>
      <c r="H613" s="6">
        <f>F613-G613</f>
        <v>13657</v>
      </c>
      <c r="I613" s="6">
        <f>IF(F613&lt;&gt;0, ((F613-G613)/F613)*100, 0)</f>
        <v>100</v>
      </c>
    </row>
    <row r="614" spans="1:9" x14ac:dyDescent="0.25">
      <c r="A614" s="2" t="s">
        <v>308</v>
      </c>
      <c r="B614" s="2" t="s">
        <v>309</v>
      </c>
      <c r="C614" s="2" t="s">
        <v>11</v>
      </c>
      <c r="E614" s="2" t="s">
        <v>11</v>
      </c>
      <c r="F614" s="6">
        <v>394175.3</v>
      </c>
      <c r="H614" s="6">
        <f>F614-G614</f>
        <v>394175.3</v>
      </c>
      <c r="I614" s="6">
        <f>IF(F614&lt;&gt;0, ((F614-G614)/F614)*100, 0)</f>
        <v>100</v>
      </c>
    </row>
    <row r="615" spans="1:9" x14ac:dyDescent="0.25">
      <c r="A615" s="2" t="s">
        <v>308</v>
      </c>
      <c r="B615" s="2" t="s">
        <v>309</v>
      </c>
      <c r="C615" s="2" t="s">
        <v>11</v>
      </c>
      <c r="E615" s="2" t="s">
        <v>11</v>
      </c>
      <c r="F615" s="6">
        <v>26072</v>
      </c>
      <c r="H615" s="6">
        <f>F615-G615</f>
        <v>26072</v>
      </c>
      <c r="I615" s="6">
        <f>IF(F615&lt;&gt;0, ((F615-G615)/F615)*100, 0)</f>
        <v>100</v>
      </c>
    </row>
    <row r="616" spans="1:9" customFormat="1" ht="14.5" x14ac:dyDescent="0.35">
      <c r="D616" s="10"/>
      <c r="F616" s="10"/>
      <c r="G616" s="10"/>
      <c r="H616" s="10"/>
      <c r="I616" s="10"/>
    </row>
    <row r="617" spans="1:9" s="4" customFormat="1" x14ac:dyDescent="0.25">
      <c r="A617" s="3" t="s">
        <v>11</v>
      </c>
      <c r="B617" s="3" t="s">
        <v>11</v>
      </c>
      <c r="C617" s="3" t="s">
        <v>11</v>
      </c>
      <c r="D617" s="5">
        <f>SUBTOTAL(9, D612:D616)</f>
        <v>0</v>
      </c>
      <c r="E617" s="3" t="s">
        <v>11</v>
      </c>
      <c r="F617" s="5">
        <f>SUBTOTAL(9, F612:F616)</f>
        <v>925325.3</v>
      </c>
      <c r="G617" s="5">
        <f>SUBTOTAL(9, G612:G616)</f>
        <v>0</v>
      </c>
      <c r="H617" s="5">
        <f>SUBTOTAL(9, H612:H616)</f>
        <v>925325.3</v>
      </c>
      <c r="I617" s="5">
        <f>IF(F617&lt;&gt;0, ((F617-G617)/F617)*100, 0)</f>
        <v>100</v>
      </c>
    </row>
    <row r="618" spans="1:9" customFormat="1" ht="14.5" x14ac:dyDescent="0.35">
      <c r="D618" s="10"/>
      <c r="F618" s="10"/>
      <c r="G618" s="10"/>
      <c r="H618" s="10"/>
      <c r="I618" s="10"/>
    </row>
    <row r="619" spans="1:9" x14ac:dyDescent="0.25">
      <c r="A619" s="2" t="s">
        <v>310</v>
      </c>
      <c r="B619" s="2" t="s">
        <v>311</v>
      </c>
      <c r="C619" s="2" t="s">
        <v>11</v>
      </c>
      <c r="E619" s="2" t="s">
        <v>11</v>
      </c>
      <c r="F619" s="6">
        <v>136103</v>
      </c>
      <c r="H619" s="6">
        <f>F619-G619</f>
        <v>136103</v>
      </c>
      <c r="I619" s="6">
        <f>IF(F619&lt;&gt;0, ((F619-G619)/F619)*100, 0)</f>
        <v>100</v>
      </c>
    </row>
    <row r="620" spans="1:9" customFormat="1" ht="14.5" x14ac:dyDescent="0.35">
      <c r="D620" s="10"/>
      <c r="F620" s="10"/>
      <c r="G620" s="10"/>
      <c r="H620" s="10"/>
      <c r="I620" s="10"/>
    </row>
    <row r="621" spans="1:9" s="4" customFormat="1" x14ac:dyDescent="0.25">
      <c r="A621" s="3" t="s">
        <v>11</v>
      </c>
      <c r="B621" s="3" t="s">
        <v>11</v>
      </c>
      <c r="C621" s="3" t="s">
        <v>11</v>
      </c>
      <c r="D621" s="5">
        <f>SUBTOTAL(9, D619:D620)</f>
        <v>0</v>
      </c>
      <c r="E621" s="3" t="s">
        <v>11</v>
      </c>
      <c r="F621" s="5">
        <f>SUBTOTAL(9, F619:F620)</f>
        <v>136103</v>
      </c>
      <c r="G621" s="5">
        <f>SUBTOTAL(9, G619:G620)</f>
        <v>0</v>
      </c>
      <c r="H621" s="5">
        <f>SUBTOTAL(9, H619:H620)</f>
        <v>136103</v>
      </c>
      <c r="I621" s="5">
        <f>IF(F621&lt;&gt;0, ((F621-G621)/F621)*100, 0)</f>
        <v>100</v>
      </c>
    </row>
    <row r="622" spans="1:9" customFormat="1" ht="14.5" x14ac:dyDescent="0.35">
      <c r="D622" s="10"/>
      <c r="F622" s="10"/>
      <c r="G622" s="10"/>
      <c r="H622" s="10"/>
      <c r="I622" s="10"/>
    </row>
    <row r="623" spans="1:9" x14ac:dyDescent="0.25">
      <c r="A623" s="2" t="s">
        <v>312</v>
      </c>
      <c r="B623" s="2" t="s">
        <v>313</v>
      </c>
      <c r="C623" s="2" t="s">
        <v>11</v>
      </c>
      <c r="E623" s="2" t="s">
        <v>11</v>
      </c>
      <c r="F623" s="6">
        <v>269952</v>
      </c>
      <c r="H623" s="6">
        <f>F623-G623</f>
        <v>269952</v>
      </c>
      <c r="I623" s="6">
        <f>IF(F623&lt;&gt;0, ((F623-G623)/F623)*100, 0)</f>
        <v>100</v>
      </c>
    </row>
    <row r="624" spans="1:9" x14ac:dyDescent="0.25">
      <c r="A624" s="2" t="s">
        <v>312</v>
      </c>
      <c r="B624" s="2" t="s">
        <v>313</v>
      </c>
      <c r="C624" s="2" t="s">
        <v>11</v>
      </c>
      <c r="E624" s="2" t="s">
        <v>11</v>
      </c>
      <c r="F624" s="6">
        <v>36800</v>
      </c>
      <c r="H624" s="6">
        <f>F624-G624</f>
        <v>36800</v>
      </c>
      <c r="I624" s="6">
        <f>IF(F624&lt;&gt;0, ((F624-G624)/F624)*100, 0)</f>
        <v>100</v>
      </c>
    </row>
    <row r="625" spans="1:9" customFormat="1" ht="14.5" x14ac:dyDescent="0.35">
      <c r="D625" s="10"/>
      <c r="F625" s="10"/>
      <c r="G625" s="10"/>
      <c r="H625" s="10"/>
      <c r="I625" s="10"/>
    </row>
    <row r="626" spans="1:9" s="4" customFormat="1" x14ac:dyDescent="0.25">
      <c r="A626" s="3" t="s">
        <v>11</v>
      </c>
      <c r="B626" s="3" t="s">
        <v>11</v>
      </c>
      <c r="C626" s="3" t="s">
        <v>11</v>
      </c>
      <c r="D626" s="5">
        <f>SUBTOTAL(9, D623:D625)</f>
        <v>0</v>
      </c>
      <c r="E626" s="3" t="s">
        <v>11</v>
      </c>
      <c r="F626" s="5">
        <f>SUBTOTAL(9, F623:F625)</f>
        <v>306752</v>
      </c>
      <c r="G626" s="5">
        <f>SUBTOTAL(9, G623:G625)</f>
        <v>0</v>
      </c>
      <c r="H626" s="5">
        <f>SUBTOTAL(9, H623:H625)</f>
        <v>306752</v>
      </c>
      <c r="I626" s="5">
        <f>IF(F626&lt;&gt;0, ((F626-G626)/F626)*100, 0)</f>
        <v>100</v>
      </c>
    </row>
    <row r="627" spans="1:9" customFormat="1" ht="14.5" x14ac:dyDescent="0.35">
      <c r="D627" s="10"/>
      <c r="F627" s="10"/>
      <c r="G627" s="10"/>
      <c r="H627" s="10"/>
      <c r="I627" s="10"/>
    </row>
    <row r="628" spans="1:9" x14ac:dyDescent="0.25">
      <c r="A628" s="2" t="s">
        <v>314</v>
      </c>
      <c r="B628" s="2" t="s">
        <v>315</v>
      </c>
      <c r="C628" s="2" t="s">
        <v>11</v>
      </c>
      <c r="E628" s="2" t="s">
        <v>11</v>
      </c>
      <c r="F628" s="6">
        <v>2250</v>
      </c>
      <c r="H628" s="6">
        <f>F628-G628</f>
        <v>2250</v>
      </c>
      <c r="I628" s="6">
        <f>IF(F628&lt;&gt;0, ((F628-G628)/F628)*100, 0)</f>
        <v>100</v>
      </c>
    </row>
    <row r="629" spans="1:9" x14ac:dyDescent="0.25">
      <c r="A629" s="2" t="s">
        <v>314</v>
      </c>
      <c r="B629" s="2" t="s">
        <v>315</v>
      </c>
      <c r="C629" s="2" t="s">
        <v>11</v>
      </c>
      <c r="E629" s="2" t="s">
        <v>11</v>
      </c>
      <c r="F629" s="6">
        <v>2250</v>
      </c>
      <c r="H629" s="6">
        <f>F629-G629</f>
        <v>2250</v>
      </c>
      <c r="I629" s="6">
        <f>IF(F629&lt;&gt;0, ((F629-G629)/F629)*100, 0)</f>
        <v>100</v>
      </c>
    </row>
    <row r="630" spans="1:9" x14ac:dyDescent="0.25">
      <c r="A630" s="2" t="s">
        <v>314</v>
      </c>
      <c r="B630" s="2" t="s">
        <v>315</v>
      </c>
      <c r="C630" s="2" t="s">
        <v>11</v>
      </c>
      <c r="E630" s="2" t="s">
        <v>11</v>
      </c>
      <c r="F630" s="6">
        <v>52727611.140000001</v>
      </c>
      <c r="H630" s="6">
        <f>F630-G630</f>
        <v>52727611.140000001</v>
      </c>
      <c r="I630" s="6">
        <f>IF(F630&lt;&gt;0, ((F630-G630)/F630)*100, 0)</f>
        <v>100</v>
      </c>
    </row>
    <row r="631" spans="1:9" x14ac:dyDescent="0.25">
      <c r="A631" s="2" t="s">
        <v>314</v>
      </c>
      <c r="B631" s="2" t="s">
        <v>315</v>
      </c>
      <c r="C631" s="2" t="s">
        <v>11</v>
      </c>
      <c r="E631" s="2" t="s">
        <v>11</v>
      </c>
      <c r="F631" s="6">
        <v>2250</v>
      </c>
      <c r="H631" s="6">
        <f>F631-G631</f>
        <v>2250</v>
      </c>
      <c r="I631" s="6">
        <f>IF(F631&lt;&gt;0, ((F631-G631)/F631)*100, 0)</f>
        <v>100</v>
      </c>
    </row>
    <row r="632" spans="1:9" x14ac:dyDescent="0.25">
      <c r="A632" s="2" t="s">
        <v>314</v>
      </c>
      <c r="B632" s="2" t="s">
        <v>315</v>
      </c>
      <c r="C632" s="2" t="s">
        <v>11</v>
      </c>
      <c r="E632" s="2" t="s">
        <v>11</v>
      </c>
      <c r="F632" s="6">
        <v>2250</v>
      </c>
      <c r="H632" s="6">
        <f>F632-G632</f>
        <v>2250</v>
      </c>
      <c r="I632" s="6">
        <f>IF(F632&lt;&gt;0, ((F632-G632)/F632)*100, 0)</f>
        <v>100</v>
      </c>
    </row>
    <row r="633" spans="1:9" x14ac:dyDescent="0.25">
      <c r="A633" s="2" t="s">
        <v>314</v>
      </c>
      <c r="B633" s="2" t="s">
        <v>315</v>
      </c>
      <c r="C633" s="2" t="s">
        <v>11</v>
      </c>
      <c r="E633" s="2" t="s">
        <v>11</v>
      </c>
      <c r="F633" s="6">
        <v>2250</v>
      </c>
      <c r="H633" s="6">
        <f>F633-G633</f>
        <v>2250</v>
      </c>
      <c r="I633" s="6">
        <f>IF(F633&lt;&gt;0, ((F633-G633)/F633)*100, 0)</f>
        <v>100</v>
      </c>
    </row>
    <row r="634" spans="1:9" x14ac:dyDescent="0.25">
      <c r="A634" s="2" t="s">
        <v>314</v>
      </c>
      <c r="B634" s="2" t="s">
        <v>315</v>
      </c>
      <c r="C634" s="2" t="s">
        <v>11</v>
      </c>
      <c r="E634" s="2" t="s">
        <v>11</v>
      </c>
      <c r="F634" s="6">
        <v>2250</v>
      </c>
      <c r="H634" s="6">
        <f>F634-G634</f>
        <v>2250</v>
      </c>
      <c r="I634" s="6">
        <f>IF(F634&lt;&gt;0, ((F634-G634)/F634)*100, 0)</f>
        <v>100</v>
      </c>
    </row>
    <row r="635" spans="1:9" x14ac:dyDescent="0.25">
      <c r="A635" s="2" t="s">
        <v>314</v>
      </c>
      <c r="B635" s="2" t="s">
        <v>315</v>
      </c>
      <c r="C635" s="2" t="s">
        <v>11</v>
      </c>
      <c r="E635" s="2" t="s">
        <v>11</v>
      </c>
      <c r="F635" s="6">
        <v>701795</v>
      </c>
      <c r="H635" s="6">
        <f>F635-G635</f>
        <v>701795</v>
      </c>
      <c r="I635" s="6">
        <f>IF(F635&lt;&gt;0, ((F635-G635)/F635)*100, 0)</f>
        <v>100</v>
      </c>
    </row>
    <row r="636" spans="1:9" x14ac:dyDescent="0.25">
      <c r="A636" s="2" t="s">
        <v>314</v>
      </c>
      <c r="B636" s="2" t="s">
        <v>315</v>
      </c>
      <c r="C636" s="2" t="s">
        <v>11</v>
      </c>
      <c r="E636" s="2" t="s">
        <v>11</v>
      </c>
      <c r="F636" s="6">
        <v>38623633.5</v>
      </c>
      <c r="H636" s="6">
        <f>F636-G636</f>
        <v>38623633.5</v>
      </c>
      <c r="I636" s="6">
        <f>IF(F636&lt;&gt;0, ((F636-G636)/F636)*100, 0)</f>
        <v>100</v>
      </c>
    </row>
    <row r="637" spans="1:9" customFormat="1" ht="14.5" x14ac:dyDescent="0.35">
      <c r="D637" s="10"/>
      <c r="F637" s="10"/>
      <c r="G637" s="10"/>
      <c r="H637" s="10"/>
      <c r="I637" s="10"/>
    </row>
    <row r="638" spans="1:9" s="4" customFormat="1" x14ac:dyDescent="0.25">
      <c r="A638" s="3" t="s">
        <v>11</v>
      </c>
      <c r="B638" s="3" t="s">
        <v>11</v>
      </c>
      <c r="C638" s="3" t="s">
        <v>11</v>
      </c>
      <c r="D638" s="5">
        <f>SUBTOTAL(9, D628:D637)</f>
        <v>0</v>
      </c>
      <c r="E638" s="3" t="s">
        <v>11</v>
      </c>
      <c r="F638" s="5">
        <f>SUBTOTAL(9, F628:F637)</f>
        <v>92066539.640000001</v>
      </c>
      <c r="G638" s="5">
        <f>SUBTOTAL(9, G628:G637)</f>
        <v>0</v>
      </c>
      <c r="H638" s="5">
        <f>SUBTOTAL(9, H628:H637)</f>
        <v>92066539.640000001</v>
      </c>
      <c r="I638" s="5">
        <f>IF(F638&lt;&gt;0, ((F638-G638)/F638)*100, 0)</f>
        <v>100</v>
      </c>
    </row>
    <row r="639" spans="1:9" customFormat="1" ht="14.5" x14ac:dyDescent="0.35">
      <c r="D639" s="10"/>
      <c r="F639" s="10"/>
      <c r="G639" s="10"/>
      <c r="H639" s="10"/>
      <c r="I639" s="10"/>
    </row>
    <row r="640" spans="1:9" x14ac:dyDescent="0.25">
      <c r="A640" s="2" t="s">
        <v>316</v>
      </c>
      <c r="B640" s="2" t="s">
        <v>317</v>
      </c>
      <c r="C640" s="2" t="s">
        <v>11</v>
      </c>
      <c r="E640" s="2" t="s">
        <v>11</v>
      </c>
      <c r="F640" s="6">
        <v>420336</v>
      </c>
      <c r="H640" s="6">
        <f>F640-G640</f>
        <v>420336</v>
      </c>
      <c r="I640" s="6">
        <f>IF(F640&lt;&gt;0, ((F640-G640)/F640)*100, 0)</f>
        <v>100</v>
      </c>
    </row>
    <row r="641" spans="1:9" x14ac:dyDescent="0.25">
      <c r="A641" s="2" t="s">
        <v>316</v>
      </c>
      <c r="B641" s="2" t="s">
        <v>317</v>
      </c>
      <c r="C641" s="2" t="s">
        <v>11</v>
      </c>
      <c r="E641" s="2" t="s">
        <v>11</v>
      </c>
      <c r="F641" s="6">
        <v>754747</v>
      </c>
      <c r="H641" s="6">
        <f>F641-G641</f>
        <v>754747</v>
      </c>
      <c r="I641" s="6">
        <f>IF(F641&lt;&gt;0, ((F641-G641)/F641)*100, 0)</f>
        <v>100</v>
      </c>
    </row>
    <row r="642" spans="1:9" customFormat="1" ht="14.5" x14ac:dyDescent="0.35">
      <c r="D642" s="10"/>
      <c r="F642" s="10"/>
      <c r="G642" s="10"/>
      <c r="H642" s="10"/>
      <c r="I642" s="10"/>
    </row>
    <row r="643" spans="1:9" s="4" customFormat="1" x14ac:dyDescent="0.25">
      <c r="A643" s="3" t="s">
        <v>11</v>
      </c>
      <c r="B643" s="3" t="s">
        <v>11</v>
      </c>
      <c r="C643" s="3" t="s">
        <v>11</v>
      </c>
      <c r="D643" s="5">
        <f>SUBTOTAL(9, D640:D642)</f>
        <v>0</v>
      </c>
      <c r="E643" s="3" t="s">
        <v>11</v>
      </c>
      <c r="F643" s="5">
        <f>SUBTOTAL(9, F640:F642)</f>
        <v>1175083</v>
      </c>
      <c r="G643" s="5">
        <f>SUBTOTAL(9, G640:G642)</f>
        <v>0</v>
      </c>
      <c r="H643" s="5">
        <f>SUBTOTAL(9, H640:H642)</f>
        <v>1175083</v>
      </c>
      <c r="I643" s="5">
        <f>IF(F643&lt;&gt;0, ((F643-G643)/F643)*100, 0)</f>
        <v>100</v>
      </c>
    </row>
    <row r="644" spans="1:9" customFormat="1" ht="14.5" x14ac:dyDescent="0.35">
      <c r="D644" s="10"/>
      <c r="F644" s="10"/>
      <c r="G644" s="10"/>
      <c r="H644" s="10"/>
      <c r="I644" s="10"/>
    </row>
    <row r="645" spans="1:9" x14ac:dyDescent="0.25">
      <c r="A645" s="2" t="s">
        <v>318</v>
      </c>
      <c r="B645" s="2" t="s">
        <v>319</v>
      </c>
      <c r="C645" s="2" t="s">
        <v>11</v>
      </c>
      <c r="E645" s="2" t="s">
        <v>11</v>
      </c>
      <c r="F645" s="6">
        <v>115747</v>
      </c>
      <c r="H645" s="6">
        <f>F645-G645</f>
        <v>115747</v>
      </c>
      <c r="I645" s="6">
        <f>IF(F645&lt;&gt;0, ((F645-G645)/F645)*100, 0)</f>
        <v>100</v>
      </c>
    </row>
    <row r="646" spans="1:9" x14ac:dyDescent="0.25">
      <c r="A646" s="2" t="s">
        <v>318</v>
      </c>
      <c r="B646" s="2" t="s">
        <v>319</v>
      </c>
      <c r="C646" s="2" t="s">
        <v>11</v>
      </c>
      <c r="E646" s="2" t="s">
        <v>11</v>
      </c>
      <c r="F646" s="6">
        <v>6800</v>
      </c>
      <c r="H646" s="6">
        <f>F646-G646</f>
        <v>6800</v>
      </c>
      <c r="I646" s="6">
        <f>IF(F646&lt;&gt;0, ((F646-G646)/F646)*100, 0)</f>
        <v>100</v>
      </c>
    </row>
    <row r="647" spans="1:9" customFormat="1" ht="14.5" x14ac:dyDescent="0.35">
      <c r="D647" s="10"/>
      <c r="F647" s="10"/>
      <c r="G647" s="10"/>
      <c r="H647" s="10"/>
      <c r="I647" s="10"/>
    </row>
    <row r="648" spans="1:9" s="4" customFormat="1" x14ac:dyDescent="0.25">
      <c r="A648" s="3" t="s">
        <v>11</v>
      </c>
      <c r="B648" s="3" t="s">
        <v>11</v>
      </c>
      <c r="C648" s="3" t="s">
        <v>11</v>
      </c>
      <c r="D648" s="5">
        <f>SUBTOTAL(9, D645:D647)</f>
        <v>0</v>
      </c>
      <c r="E648" s="3" t="s">
        <v>11</v>
      </c>
      <c r="F648" s="5">
        <f>SUBTOTAL(9, F645:F647)</f>
        <v>122547</v>
      </c>
      <c r="G648" s="5">
        <f>SUBTOTAL(9, G645:G647)</f>
        <v>0</v>
      </c>
      <c r="H648" s="5">
        <f>SUBTOTAL(9, H645:H647)</f>
        <v>122547</v>
      </c>
      <c r="I648" s="5">
        <f>IF(F648&lt;&gt;0, ((F648-G648)/F648)*100, 0)</f>
        <v>100</v>
      </c>
    </row>
    <row r="649" spans="1:9" customFormat="1" ht="14.5" x14ac:dyDescent="0.35">
      <c r="D649" s="10"/>
      <c r="F649" s="10"/>
      <c r="G649" s="10"/>
      <c r="H649" s="10"/>
      <c r="I649" s="10"/>
    </row>
    <row r="650" spans="1:9" x14ac:dyDescent="0.25">
      <c r="A650" s="2" t="s">
        <v>320</v>
      </c>
      <c r="B650" s="2" t="s">
        <v>321</v>
      </c>
      <c r="C650" s="2" t="s">
        <v>11</v>
      </c>
      <c r="E650" s="2" t="s">
        <v>11</v>
      </c>
      <c r="F650" s="6">
        <v>501983</v>
      </c>
      <c r="H650" s="6">
        <f>F650-G650</f>
        <v>501983</v>
      </c>
      <c r="I650" s="6">
        <f>IF(F650&lt;&gt;0, ((F650-G650)/F650)*100, 0)</f>
        <v>100</v>
      </c>
    </row>
    <row r="651" spans="1:9" customFormat="1" ht="14.5" x14ac:dyDescent="0.35">
      <c r="D651" s="10"/>
      <c r="F651" s="10"/>
      <c r="G651" s="10"/>
      <c r="H651" s="10"/>
      <c r="I651" s="10"/>
    </row>
    <row r="652" spans="1:9" s="4" customFormat="1" x14ac:dyDescent="0.25">
      <c r="A652" s="3" t="s">
        <v>11</v>
      </c>
      <c r="B652" s="3" t="s">
        <v>11</v>
      </c>
      <c r="C652" s="3" t="s">
        <v>11</v>
      </c>
      <c r="D652" s="5">
        <f>SUBTOTAL(9, D650:D651)</f>
        <v>0</v>
      </c>
      <c r="E652" s="3" t="s">
        <v>11</v>
      </c>
      <c r="F652" s="5">
        <f>SUBTOTAL(9, F650:F651)</f>
        <v>501983</v>
      </c>
      <c r="G652" s="5">
        <f>SUBTOTAL(9, G650:G651)</f>
        <v>0</v>
      </c>
      <c r="H652" s="5">
        <f>SUBTOTAL(9, H650:H651)</f>
        <v>501983</v>
      </c>
      <c r="I652" s="5">
        <f>IF(F652&lt;&gt;0, ((F652-G652)/F652)*100, 0)</f>
        <v>100</v>
      </c>
    </row>
    <row r="653" spans="1:9" customFormat="1" ht="14.5" x14ac:dyDescent="0.35">
      <c r="D653" s="10"/>
      <c r="F653" s="10"/>
      <c r="G653" s="10"/>
      <c r="H653" s="10"/>
      <c r="I653" s="10"/>
    </row>
    <row r="654" spans="1:9" x14ac:dyDescent="0.25">
      <c r="A654" s="2" t="s">
        <v>322</v>
      </c>
      <c r="B654" s="2" t="s">
        <v>323</v>
      </c>
      <c r="C654" s="2" t="s">
        <v>11</v>
      </c>
      <c r="E654" s="2" t="s">
        <v>11</v>
      </c>
      <c r="F654" s="6">
        <v>17050</v>
      </c>
      <c r="H654" s="6">
        <f>F654-G654</f>
        <v>17050</v>
      </c>
      <c r="I654" s="6">
        <f>IF(F654&lt;&gt;0, ((F654-G654)/F654)*100, 0)</f>
        <v>100</v>
      </c>
    </row>
    <row r="655" spans="1:9" x14ac:dyDescent="0.25">
      <c r="A655" s="2" t="s">
        <v>322</v>
      </c>
      <c r="B655" s="2" t="s">
        <v>323</v>
      </c>
      <c r="C655" s="2" t="s">
        <v>11</v>
      </c>
      <c r="E655" s="2" t="s">
        <v>11</v>
      </c>
      <c r="F655" s="6">
        <v>617229</v>
      </c>
      <c r="H655" s="6">
        <f>F655-G655</f>
        <v>617229</v>
      </c>
      <c r="I655" s="6">
        <f>IF(F655&lt;&gt;0, ((F655-G655)/F655)*100, 0)</f>
        <v>100</v>
      </c>
    </row>
    <row r="656" spans="1:9" customFormat="1" ht="14.5" x14ac:dyDescent="0.35">
      <c r="D656" s="10"/>
      <c r="F656" s="10"/>
      <c r="G656" s="10"/>
      <c r="H656" s="10"/>
      <c r="I656" s="10"/>
    </row>
    <row r="657" spans="1:9" s="4" customFormat="1" x14ac:dyDescent="0.25">
      <c r="A657" s="3" t="s">
        <v>11</v>
      </c>
      <c r="B657" s="3" t="s">
        <v>11</v>
      </c>
      <c r="C657" s="3" t="s">
        <v>11</v>
      </c>
      <c r="D657" s="5">
        <f>SUBTOTAL(9, D654:D656)</f>
        <v>0</v>
      </c>
      <c r="E657" s="3" t="s">
        <v>11</v>
      </c>
      <c r="F657" s="5">
        <f>SUBTOTAL(9, F654:F656)</f>
        <v>634279</v>
      </c>
      <c r="G657" s="5">
        <f>SUBTOTAL(9, G654:G656)</f>
        <v>0</v>
      </c>
      <c r="H657" s="5">
        <f>SUBTOTAL(9, H654:H656)</f>
        <v>634279</v>
      </c>
      <c r="I657" s="5">
        <f>IF(F657&lt;&gt;0, ((F657-G657)/F657)*100, 0)</f>
        <v>100</v>
      </c>
    </row>
    <row r="658" spans="1:9" customFormat="1" ht="14.5" x14ac:dyDescent="0.35">
      <c r="D658" s="10"/>
      <c r="F658" s="10"/>
      <c r="G658" s="10"/>
      <c r="H658" s="10"/>
      <c r="I658" s="10"/>
    </row>
    <row r="659" spans="1:9" x14ac:dyDescent="0.25">
      <c r="A659" s="2" t="s">
        <v>324</v>
      </c>
      <c r="B659" s="2" t="s">
        <v>325</v>
      </c>
      <c r="C659" s="2" t="s">
        <v>11</v>
      </c>
      <c r="E659" s="2" t="s">
        <v>11</v>
      </c>
      <c r="F659" s="6">
        <v>918658.71</v>
      </c>
      <c r="H659" s="6">
        <f>F659-G659</f>
        <v>918658.71</v>
      </c>
      <c r="I659" s="6">
        <f>IF(F659&lt;&gt;0, ((F659-G659)/F659)*100, 0)</f>
        <v>100</v>
      </c>
    </row>
    <row r="660" spans="1:9" x14ac:dyDescent="0.25">
      <c r="A660" s="2" t="s">
        <v>324</v>
      </c>
      <c r="B660" s="2" t="s">
        <v>325</v>
      </c>
      <c r="C660" s="2" t="s">
        <v>11</v>
      </c>
      <c r="E660" s="2" t="s">
        <v>11</v>
      </c>
      <c r="F660" s="6">
        <v>8602208.6999999993</v>
      </c>
      <c r="H660" s="6">
        <f>F660-G660</f>
        <v>8602208.6999999993</v>
      </c>
      <c r="I660" s="6">
        <f>IF(F660&lt;&gt;0, ((F660-G660)/F660)*100, 0)</f>
        <v>100</v>
      </c>
    </row>
    <row r="661" spans="1:9" x14ac:dyDescent="0.25">
      <c r="A661" s="2" t="s">
        <v>324</v>
      </c>
      <c r="B661" s="2" t="s">
        <v>325</v>
      </c>
      <c r="C661" s="2" t="s">
        <v>11</v>
      </c>
      <c r="E661" s="2" t="s">
        <v>11</v>
      </c>
      <c r="F661" s="6">
        <v>3000</v>
      </c>
      <c r="H661" s="6">
        <f>F661-G661</f>
        <v>3000</v>
      </c>
      <c r="I661" s="6">
        <f>IF(F661&lt;&gt;0, ((F661-G661)/F661)*100, 0)</f>
        <v>100</v>
      </c>
    </row>
    <row r="662" spans="1:9" x14ac:dyDescent="0.25">
      <c r="A662" s="2" t="s">
        <v>324</v>
      </c>
      <c r="B662" s="2" t="s">
        <v>325</v>
      </c>
      <c r="C662" s="2" t="s">
        <v>11</v>
      </c>
      <c r="E662" s="2" t="s">
        <v>11</v>
      </c>
      <c r="F662" s="6">
        <v>83950</v>
      </c>
      <c r="H662" s="6">
        <f>F662-G662</f>
        <v>83950</v>
      </c>
      <c r="I662" s="6">
        <f>IF(F662&lt;&gt;0, ((F662-G662)/F662)*100, 0)</f>
        <v>100</v>
      </c>
    </row>
    <row r="663" spans="1:9" customFormat="1" ht="14.5" x14ac:dyDescent="0.35">
      <c r="D663" s="10"/>
      <c r="F663" s="10"/>
      <c r="G663" s="10"/>
      <c r="H663" s="10"/>
      <c r="I663" s="10"/>
    </row>
    <row r="664" spans="1:9" s="4" customFormat="1" x14ac:dyDescent="0.25">
      <c r="A664" s="3" t="s">
        <v>11</v>
      </c>
      <c r="B664" s="3" t="s">
        <v>11</v>
      </c>
      <c r="C664" s="3" t="s">
        <v>11</v>
      </c>
      <c r="D664" s="5">
        <f>SUBTOTAL(9, D659:D663)</f>
        <v>0</v>
      </c>
      <c r="E664" s="3" t="s">
        <v>11</v>
      </c>
      <c r="F664" s="5">
        <f>SUBTOTAL(9, F659:F663)</f>
        <v>9607817.4100000001</v>
      </c>
      <c r="G664" s="5">
        <f>SUBTOTAL(9, G659:G663)</f>
        <v>0</v>
      </c>
      <c r="H664" s="5">
        <f>SUBTOTAL(9, H659:H663)</f>
        <v>9607817.4100000001</v>
      </c>
      <c r="I664" s="5">
        <f>IF(F664&lt;&gt;0, ((F664-G664)/F664)*100, 0)</f>
        <v>100</v>
      </c>
    </row>
    <row r="665" spans="1:9" customFormat="1" ht="14.5" x14ac:dyDescent="0.35">
      <c r="D665" s="10"/>
      <c r="F665" s="10"/>
      <c r="G665" s="10"/>
      <c r="H665" s="10"/>
      <c r="I665" s="10"/>
    </row>
    <row r="666" spans="1:9" x14ac:dyDescent="0.25">
      <c r="A666" s="2" t="s">
        <v>326</v>
      </c>
      <c r="B666" s="2" t="s">
        <v>327</v>
      </c>
      <c r="C666" s="2" t="s">
        <v>11</v>
      </c>
      <c r="E666" s="2" t="s">
        <v>11</v>
      </c>
      <c r="F666" s="6">
        <v>159160.5</v>
      </c>
      <c r="H666" s="6">
        <f>F666-G666</f>
        <v>159160.5</v>
      </c>
      <c r="I666" s="6">
        <f>IF(F666&lt;&gt;0, ((F666-G666)/F666)*100, 0)</f>
        <v>100</v>
      </c>
    </row>
    <row r="667" spans="1:9" x14ac:dyDescent="0.25">
      <c r="A667" s="2" t="s">
        <v>326</v>
      </c>
      <c r="B667" s="2" t="s">
        <v>327</v>
      </c>
      <c r="C667" s="2" t="s">
        <v>11</v>
      </c>
      <c r="E667" s="2" t="s">
        <v>11</v>
      </c>
      <c r="F667" s="6">
        <v>11066337.949999999</v>
      </c>
      <c r="H667" s="6">
        <f>F667-G667</f>
        <v>11066337.949999999</v>
      </c>
      <c r="I667" s="6">
        <f>IF(F667&lt;&gt;0, ((F667-G667)/F667)*100, 0)</f>
        <v>100</v>
      </c>
    </row>
    <row r="668" spans="1:9" customFormat="1" ht="14.5" x14ac:dyDescent="0.35">
      <c r="D668" s="10"/>
      <c r="F668" s="10"/>
      <c r="G668" s="10"/>
      <c r="H668" s="10"/>
      <c r="I668" s="10"/>
    </row>
    <row r="669" spans="1:9" s="4" customFormat="1" x14ac:dyDescent="0.25">
      <c r="A669" s="3" t="s">
        <v>11</v>
      </c>
      <c r="B669" s="3" t="s">
        <v>11</v>
      </c>
      <c r="C669" s="3" t="s">
        <v>11</v>
      </c>
      <c r="D669" s="5">
        <f>SUBTOTAL(9, D666:D668)</f>
        <v>0</v>
      </c>
      <c r="E669" s="3" t="s">
        <v>11</v>
      </c>
      <c r="F669" s="5">
        <f>SUBTOTAL(9, F666:F668)</f>
        <v>11225498.449999999</v>
      </c>
      <c r="G669" s="5">
        <f>SUBTOTAL(9, G666:G668)</f>
        <v>0</v>
      </c>
      <c r="H669" s="5">
        <f>SUBTOTAL(9, H666:H668)</f>
        <v>11225498.449999999</v>
      </c>
      <c r="I669" s="5">
        <f>IF(F669&lt;&gt;0, ((F669-G669)/F669)*100, 0)</f>
        <v>100</v>
      </c>
    </row>
    <row r="670" spans="1:9" customFormat="1" ht="14.5" x14ac:dyDescent="0.35">
      <c r="D670" s="10"/>
      <c r="F670" s="10"/>
      <c r="G670" s="10"/>
      <c r="H670" s="10"/>
      <c r="I670" s="10"/>
    </row>
    <row r="671" spans="1:9" x14ac:dyDescent="0.25">
      <c r="A671" s="2" t="s">
        <v>328</v>
      </c>
      <c r="B671" s="2" t="s">
        <v>329</v>
      </c>
      <c r="C671" s="2" t="s">
        <v>11</v>
      </c>
      <c r="E671" s="2" t="s">
        <v>11</v>
      </c>
      <c r="F671" s="6">
        <v>82000</v>
      </c>
      <c r="H671" s="6">
        <f>F671-G671</f>
        <v>82000</v>
      </c>
      <c r="I671" s="6">
        <f>IF(F671&lt;&gt;0, ((F671-G671)/F671)*100, 0)</f>
        <v>100</v>
      </c>
    </row>
    <row r="672" spans="1:9" customFormat="1" ht="14.5" x14ac:dyDescent="0.35">
      <c r="D672" s="10"/>
      <c r="F672" s="10"/>
      <c r="G672" s="10"/>
      <c r="H672" s="10"/>
      <c r="I672" s="10"/>
    </row>
    <row r="673" spans="1:9" s="4" customFormat="1" x14ac:dyDescent="0.25">
      <c r="A673" s="3" t="s">
        <v>11</v>
      </c>
      <c r="B673" s="3" t="s">
        <v>11</v>
      </c>
      <c r="C673" s="3" t="s">
        <v>11</v>
      </c>
      <c r="D673" s="5">
        <f>SUBTOTAL(9, D671:D672)</f>
        <v>0</v>
      </c>
      <c r="E673" s="3" t="s">
        <v>11</v>
      </c>
      <c r="F673" s="5">
        <f>SUBTOTAL(9, F671:F672)</f>
        <v>82000</v>
      </c>
      <c r="G673" s="5">
        <f>SUBTOTAL(9, G671:G672)</f>
        <v>0</v>
      </c>
      <c r="H673" s="5">
        <f>SUBTOTAL(9, H671:H672)</f>
        <v>82000</v>
      </c>
      <c r="I673" s="5">
        <f>IF(F673&lt;&gt;0, ((F673-G673)/F673)*100, 0)</f>
        <v>100</v>
      </c>
    </row>
    <row r="674" spans="1:9" customFormat="1" ht="14.5" x14ac:dyDescent="0.35">
      <c r="D674" s="10"/>
      <c r="F674" s="10"/>
      <c r="G674" s="10"/>
      <c r="H674" s="10"/>
      <c r="I674" s="10"/>
    </row>
    <row r="675" spans="1:9" x14ac:dyDescent="0.25">
      <c r="A675" s="2" t="s">
        <v>330</v>
      </c>
      <c r="B675" s="2" t="s">
        <v>331</v>
      </c>
      <c r="C675" s="2" t="s">
        <v>11</v>
      </c>
      <c r="E675" s="2" t="s">
        <v>11</v>
      </c>
      <c r="F675" s="6">
        <v>35535</v>
      </c>
      <c r="H675" s="6">
        <f>F675-G675</f>
        <v>35535</v>
      </c>
      <c r="I675" s="6">
        <f>IF(F675&lt;&gt;0, ((F675-G675)/F675)*100, 0)</f>
        <v>100</v>
      </c>
    </row>
    <row r="676" spans="1:9" customFormat="1" ht="14.5" x14ac:dyDescent="0.35">
      <c r="D676" s="10"/>
      <c r="F676" s="10"/>
      <c r="G676" s="10"/>
      <c r="H676" s="10"/>
      <c r="I676" s="10"/>
    </row>
    <row r="677" spans="1:9" s="4" customFormat="1" x14ac:dyDescent="0.25">
      <c r="A677" s="3" t="s">
        <v>11</v>
      </c>
      <c r="B677" s="3" t="s">
        <v>11</v>
      </c>
      <c r="C677" s="3" t="s">
        <v>11</v>
      </c>
      <c r="D677" s="5">
        <f>SUBTOTAL(9, D675:D676)</f>
        <v>0</v>
      </c>
      <c r="E677" s="3" t="s">
        <v>11</v>
      </c>
      <c r="F677" s="5">
        <f>SUBTOTAL(9, F675:F676)</f>
        <v>35535</v>
      </c>
      <c r="G677" s="5">
        <f>SUBTOTAL(9, G675:G676)</f>
        <v>0</v>
      </c>
      <c r="H677" s="5">
        <f>SUBTOTAL(9, H675:H676)</f>
        <v>35535</v>
      </c>
      <c r="I677" s="5">
        <f>IF(F677&lt;&gt;0, ((F677-G677)/F677)*100, 0)</f>
        <v>100</v>
      </c>
    </row>
    <row r="678" spans="1:9" customFormat="1" ht="14.5" x14ac:dyDescent="0.35">
      <c r="D678" s="10"/>
      <c r="F678" s="10"/>
      <c r="G678" s="10"/>
      <c r="H678" s="10"/>
      <c r="I678" s="10"/>
    </row>
    <row r="679" spans="1:9" x14ac:dyDescent="0.25">
      <c r="A679" s="2" t="s">
        <v>332</v>
      </c>
      <c r="B679" s="2" t="s">
        <v>333</v>
      </c>
      <c r="C679" s="2" t="s">
        <v>11</v>
      </c>
      <c r="E679" s="2" t="s">
        <v>11</v>
      </c>
      <c r="F679" s="6">
        <v>8285925</v>
      </c>
      <c r="H679" s="6">
        <f>F679-G679</f>
        <v>8285925</v>
      </c>
      <c r="I679" s="6">
        <f>IF(F679&lt;&gt;0, ((F679-G679)/F679)*100, 0)</f>
        <v>100</v>
      </c>
    </row>
    <row r="680" spans="1:9" x14ac:dyDescent="0.25">
      <c r="A680" s="2" t="s">
        <v>332</v>
      </c>
      <c r="B680" s="2" t="s">
        <v>333</v>
      </c>
      <c r="C680" s="2" t="s">
        <v>11</v>
      </c>
      <c r="E680" s="2" t="s">
        <v>11</v>
      </c>
      <c r="F680" s="6">
        <v>1632418.3</v>
      </c>
      <c r="H680" s="6">
        <f>F680-G680</f>
        <v>1632418.3</v>
      </c>
      <c r="I680" s="6">
        <f>IF(F680&lt;&gt;0, ((F680-G680)/F680)*100, 0)</f>
        <v>100</v>
      </c>
    </row>
    <row r="681" spans="1:9" customFormat="1" ht="14.5" x14ac:dyDescent="0.35">
      <c r="D681" s="10"/>
      <c r="F681" s="10"/>
      <c r="G681" s="10"/>
      <c r="H681" s="10"/>
      <c r="I681" s="10"/>
    </row>
    <row r="682" spans="1:9" s="4" customFormat="1" x14ac:dyDescent="0.25">
      <c r="A682" s="3" t="s">
        <v>11</v>
      </c>
      <c r="B682" s="3" t="s">
        <v>11</v>
      </c>
      <c r="C682" s="3" t="s">
        <v>11</v>
      </c>
      <c r="D682" s="5">
        <f>SUBTOTAL(9, D679:D681)</f>
        <v>0</v>
      </c>
      <c r="E682" s="3" t="s">
        <v>11</v>
      </c>
      <c r="F682" s="5">
        <f>SUBTOTAL(9, F679:F681)</f>
        <v>9918343.3000000007</v>
      </c>
      <c r="G682" s="5">
        <f>SUBTOTAL(9, G679:G681)</f>
        <v>0</v>
      </c>
      <c r="H682" s="5">
        <f>SUBTOTAL(9, H679:H681)</f>
        <v>9918343.3000000007</v>
      </c>
      <c r="I682" s="5">
        <f>IF(F682&lt;&gt;0, ((F682-G682)/F682)*100, 0)</f>
        <v>100</v>
      </c>
    </row>
    <row r="683" spans="1:9" customFormat="1" ht="14.5" x14ac:dyDescent="0.35">
      <c r="D683" s="10"/>
      <c r="F683" s="10"/>
      <c r="G683" s="10"/>
      <c r="H683" s="10"/>
      <c r="I683" s="10"/>
    </row>
    <row r="684" spans="1:9" x14ac:dyDescent="0.25">
      <c r="A684" s="2" t="s">
        <v>334</v>
      </c>
      <c r="B684" s="2" t="s">
        <v>335</v>
      </c>
      <c r="C684" s="2" t="s">
        <v>11</v>
      </c>
      <c r="E684" s="2" t="s">
        <v>11</v>
      </c>
      <c r="F684" s="6">
        <v>486660</v>
      </c>
      <c r="H684" s="6">
        <f>F684-G684</f>
        <v>486660</v>
      </c>
      <c r="I684" s="6">
        <f>IF(F684&lt;&gt;0, ((F684-G684)/F684)*100, 0)</f>
        <v>100</v>
      </c>
    </row>
    <row r="685" spans="1:9" customFormat="1" ht="14.5" x14ac:dyDescent="0.35">
      <c r="D685" s="10"/>
      <c r="F685" s="10"/>
      <c r="G685" s="10"/>
      <c r="H685" s="10"/>
      <c r="I685" s="10"/>
    </row>
    <row r="686" spans="1:9" s="4" customFormat="1" x14ac:dyDescent="0.25">
      <c r="A686" s="3" t="s">
        <v>11</v>
      </c>
      <c r="B686" s="3" t="s">
        <v>11</v>
      </c>
      <c r="C686" s="3" t="s">
        <v>11</v>
      </c>
      <c r="D686" s="5">
        <f>SUBTOTAL(9, D684:D685)</f>
        <v>0</v>
      </c>
      <c r="E686" s="3" t="s">
        <v>11</v>
      </c>
      <c r="F686" s="5">
        <f>SUBTOTAL(9, F684:F685)</f>
        <v>486660</v>
      </c>
      <c r="G686" s="5">
        <f>SUBTOTAL(9, G684:G685)</f>
        <v>0</v>
      </c>
      <c r="H686" s="5">
        <f>SUBTOTAL(9, H684:H685)</f>
        <v>486660</v>
      </c>
      <c r="I686" s="5">
        <f>IF(F686&lt;&gt;0, ((F686-G686)/F686)*100, 0)</f>
        <v>100</v>
      </c>
    </row>
    <row r="687" spans="1:9" customFormat="1" ht="14.5" x14ac:dyDescent="0.35">
      <c r="D687" s="10"/>
      <c r="F687" s="10"/>
      <c r="G687" s="10"/>
      <c r="H687" s="10"/>
      <c r="I687" s="10"/>
    </row>
    <row r="688" spans="1:9" x14ac:dyDescent="0.25">
      <c r="A688" s="2" t="s">
        <v>336</v>
      </c>
      <c r="B688" s="2" t="s">
        <v>337</v>
      </c>
      <c r="C688" s="2" t="s">
        <v>11</v>
      </c>
      <c r="E688" s="2" t="s">
        <v>11</v>
      </c>
      <c r="F688" s="6">
        <v>6482601.2400000002</v>
      </c>
      <c r="H688" s="6">
        <f>F688-G688</f>
        <v>6482601.2400000002</v>
      </c>
      <c r="I688" s="6">
        <f>IF(F688&lt;&gt;0, ((F688-G688)/F688)*100, 0)</f>
        <v>100</v>
      </c>
    </row>
    <row r="689" spans="1:9" customFormat="1" ht="14.5" x14ac:dyDescent="0.35">
      <c r="D689" s="10"/>
      <c r="F689" s="10"/>
      <c r="G689" s="10"/>
      <c r="H689" s="10"/>
      <c r="I689" s="10"/>
    </row>
    <row r="690" spans="1:9" s="4" customFormat="1" x14ac:dyDescent="0.25">
      <c r="A690" s="3" t="s">
        <v>11</v>
      </c>
      <c r="B690" s="3" t="s">
        <v>11</v>
      </c>
      <c r="C690" s="3" t="s">
        <v>11</v>
      </c>
      <c r="D690" s="5">
        <f>SUBTOTAL(9, D688:D689)</f>
        <v>0</v>
      </c>
      <c r="E690" s="3" t="s">
        <v>11</v>
      </c>
      <c r="F690" s="5">
        <f>SUBTOTAL(9, F688:F689)</f>
        <v>6482601.2400000002</v>
      </c>
      <c r="G690" s="5">
        <f>SUBTOTAL(9, G688:G689)</f>
        <v>0</v>
      </c>
      <c r="H690" s="5">
        <f>SUBTOTAL(9, H688:H689)</f>
        <v>6482601.2400000002</v>
      </c>
      <c r="I690" s="5">
        <f>IF(F690&lt;&gt;0, ((F690-G690)/F690)*100, 0)</f>
        <v>100</v>
      </c>
    </row>
    <row r="691" spans="1:9" customFormat="1" ht="14.5" x14ac:dyDescent="0.35">
      <c r="D691" s="10"/>
      <c r="F691" s="10"/>
      <c r="G691" s="10"/>
      <c r="H691" s="10"/>
      <c r="I691" s="10"/>
    </row>
    <row r="692" spans="1:9" x14ac:dyDescent="0.25">
      <c r="A692" s="2" t="s">
        <v>338</v>
      </c>
      <c r="B692" s="2" t="s">
        <v>339</v>
      </c>
      <c r="C692" s="2" t="s">
        <v>11</v>
      </c>
      <c r="E692" s="2" t="s">
        <v>11</v>
      </c>
      <c r="F692" s="6">
        <v>3914433.47</v>
      </c>
      <c r="H692" s="6">
        <f>F692-G692</f>
        <v>3914433.47</v>
      </c>
      <c r="I692" s="6">
        <f>IF(F692&lt;&gt;0, ((F692-G692)/F692)*100, 0)</f>
        <v>100</v>
      </c>
    </row>
    <row r="693" spans="1:9" x14ac:dyDescent="0.25">
      <c r="A693" s="2" t="s">
        <v>338</v>
      </c>
      <c r="B693" s="2" t="s">
        <v>339</v>
      </c>
      <c r="C693" s="2" t="s">
        <v>11</v>
      </c>
      <c r="E693" s="2" t="s">
        <v>11</v>
      </c>
      <c r="F693" s="6">
        <v>68300.600000000006</v>
      </c>
      <c r="H693" s="6">
        <f>F693-G693</f>
        <v>68300.600000000006</v>
      </c>
      <c r="I693" s="6">
        <f>IF(F693&lt;&gt;0, ((F693-G693)/F693)*100, 0)</f>
        <v>100</v>
      </c>
    </row>
    <row r="694" spans="1:9" x14ac:dyDescent="0.25">
      <c r="A694" s="2" t="s">
        <v>338</v>
      </c>
      <c r="B694" s="2" t="s">
        <v>339</v>
      </c>
      <c r="C694" s="2" t="s">
        <v>11</v>
      </c>
      <c r="E694" s="2" t="s">
        <v>11</v>
      </c>
      <c r="F694" s="6">
        <v>20913</v>
      </c>
      <c r="H694" s="6">
        <f>F694-G694</f>
        <v>20913</v>
      </c>
      <c r="I694" s="6">
        <f>IF(F694&lt;&gt;0, ((F694-G694)/F694)*100, 0)</f>
        <v>100</v>
      </c>
    </row>
    <row r="695" spans="1:9" customFormat="1" ht="14.5" x14ac:dyDescent="0.35">
      <c r="D695" s="10"/>
      <c r="F695" s="10"/>
      <c r="G695" s="10"/>
      <c r="H695" s="10"/>
      <c r="I695" s="10"/>
    </row>
    <row r="696" spans="1:9" s="4" customFormat="1" x14ac:dyDescent="0.25">
      <c r="A696" s="3" t="s">
        <v>11</v>
      </c>
      <c r="B696" s="3" t="s">
        <v>11</v>
      </c>
      <c r="C696" s="3" t="s">
        <v>11</v>
      </c>
      <c r="D696" s="5">
        <f>SUBTOTAL(9, D692:D695)</f>
        <v>0</v>
      </c>
      <c r="E696" s="3" t="s">
        <v>11</v>
      </c>
      <c r="F696" s="5">
        <f>SUBTOTAL(9, F692:F695)</f>
        <v>4003647.0700000003</v>
      </c>
      <c r="G696" s="5">
        <f>SUBTOTAL(9, G692:G695)</f>
        <v>0</v>
      </c>
      <c r="H696" s="5">
        <f>SUBTOTAL(9, H692:H695)</f>
        <v>4003647.0700000003</v>
      </c>
      <c r="I696" s="5">
        <f>IF(F696&lt;&gt;0, ((F696-G696)/F696)*100, 0)</f>
        <v>100</v>
      </c>
    </row>
    <row r="697" spans="1:9" customFormat="1" ht="14.5" x14ac:dyDescent="0.35">
      <c r="D697" s="10"/>
      <c r="F697" s="10"/>
      <c r="G697" s="10"/>
      <c r="H697" s="10"/>
      <c r="I697" s="10"/>
    </row>
    <row r="698" spans="1:9" x14ac:dyDescent="0.25">
      <c r="A698" s="2" t="s">
        <v>340</v>
      </c>
      <c r="B698" s="2" t="s">
        <v>341</v>
      </c>
      <c r="C698" s="2" t="s">
        <v>11</v>
      </c>
      <c r="E698" s="2" t="s">
        <v>11</v>
      </c>
      <c r="F698" s="6">
        <v>134102990.7</v>
      </c>
      <c r="H698" s="6">
        <f>F698-G698</f>
        <v>134102990.7</v>
      </c>
      <c r="I698" s="6">
        <f>IF(F698&lt;&gt;0, ((F698-G698)/F698)*100, 0)</f>
        <v>100</v>
      </c>
    </row>
    <row r="699" spans="1:9" x14ac:dyDescent="0.25">
      <c r="A699" s="2" t="s">
        <v>340</v>
      </c>
      <c r="B699" s="2" t="s">
        <v>341</v>
      </c>
      <c r="C699" s="2" t="s">
        <v>11</v>
      </c>
      <c r="E699" s="2" t="s">
        <v>11</v>
      </c>
      <c r="F699" s="6">
        <v>20941343.710000001</v>
      </c>
      <c r="H699" s="6">
        <f>F699-G699</f>
        <v>20941343.710000001</v>
      </c>
      <c r="I699" s="6">
        <f>IF(F699&lt;&gt;0, ((F699-G699)/F699)*100, 0)</f>
        <v>100</v>
      </c>
    </row>
    <row r="700" spans="1:9" x14ac:dyDescent="0.25">
      <c r="A700" s="2" t="s">
        <v>340</v>
      </c>
      <c r="B700" s="2" t="s">
        <v>341</v>
      </c>
      <c r="C700" s="2" t="s">
        <v>11</v>
      </c>
      <c r="E700" s="2" t="s">
        <v>11</v>
      </c>
      <c r="F700" s="6">
        <v>58642.45</v>
      </c>
      <c r="H700" s="6">
        <f>F700-G700</f>
        <v>58642.45</v>
      </c>
      <c r="I700" s="6">
        <f>IF(F700&lt;&gt;0, ((F700-G700)/F700)*100, 0)</f>
        <v>100</v>
      </c>
    </row>
    <row r="701" spans="1:9" x14ac:dyDescent="0.25">
      <c r="A701" s="2" t="s">
        <v>340</v>
      </c>
      <c r="B701" s="2" t="s">
        <v>341</v>
      </c>
      <c r="C701" s="2" t="s">
        <v>11</v>
      </c>
      <c r="E701" s="2" t="s">
        <v>11</v>
      </c>
      <c r="F701" s="6">
        <v>160358.57</v>
      </c>
      <c r="H701" s="6">
        <f>F701-G701</f>
        <v>160358.57</v>
      </c>
      <c r="I701" s="6">
        <f>IF(F701&lt;&gt;0, ((F701-G701)/F701)*100, 0)</f>
        <v>100</v>
      </c>
    </row>
    <row r="702" spans="1:9" customFormat="1" ht="14.5" x14ac:dyDescent="0.35">
      <c r="D702" s="10"/>
      <c r="F702" s="10"/>
      <c r="G702" s="10"/>
      <c r="H702" s="10"/>
      <c r="I702" s="10"/>
    </row>
    <row r="703" spans="1:9" s="4" customFormat="1" x14ac:dyDescent="0.25">
      <c r="A703" s="3" t="s">
        <v>11</v>
      </c>
      <c r="B703" s="3" t="s">
        <v>11</v>
      </c>
      <c r="C703" s="3" t="s">
        <v>11</v>
      </c>
      <c r="D703" s="5">
        <f>SUBTOTAL(9, D698:D702)</f>
        <v>0</v>
      </c>
      <c r="E703" s="3" t="s">
        <v>11</v>
      </c>
      <c r="F703" s="5">
        <f>SUBTOTAL(9, F698:F702)</f>
        <v>155263335.42999998</v>
      </c>
      <c r="G703" s="5">
        <f>SUBTOTAL(9, G698:G702)</f>
        <v>0</v>
      </c>
      <c r="H703" s="5">
        <f>SUBTOTAL(9, H698:H702)</f>
        <v>155263335.42999998</v>
      </c>
      <c r="I703" s="5">
        <f>IF(F703&lt;&gt;0, ((F703-G703)/F703)*100, 0)</f>
        <v>100</v>
      </c>
    </row>
    <row r="704" spans="1:9" customFormat="1" ht="14.5" x14ac:dyDescent="0.35">
      <c r="D704" s="10"/>
      <c r="F704" s="10"/>
      <c r="G704" s="10"/>
      <c r="H704" s="10"/>
      <c r="I704" s="10"/>
    </row>
    <row r="705" spans="1:9" x14ac:dyDescent="0.25">
      <c r="A705" s="2" t="s">
        <v>342</v>
      </c>
      <c r="B705" s="2" t="s">
        <v>343</v>
      </c>
      <c r="C705" s="2" t="s">
        <v>11</v>
      </c>
      <c r="E705" s="2" t="s">
        <v>11</v>
      </c>
      <c r="F705" s="6">
        <v>3070651.77</v>
      </c>
      <c r="H705" s="6">
        <f>F705-G705</f>
        <v>3070651.77</v>
      </c>
      <c r="I705" s="6">
        <f>IF(F705&lt;&gt;0, ((F705-G705)/F705)*100, 0)</f>
        <v>100</v>
      </c>
    </row>
    <row r="706" spans="1:9" customFormat="1" ht="14.5" x14ac:dyDescent="0.35">
      <c r="D706" s="10"/>
      <c r="F706" s="10"/>
      <c r="G706" s="10"/>
      <c r="H706" s="10"/>
      <c r="I706" s="10"/>
    </row>
    <row r="707" spans="1:9" s="4" customFormat="1" x14ac:dyDescent="0.25">
      <c r="A707" s="3" t="s">
        <v>11</v>
      </c>
      <c r="B707" s="3" t="s">
        <v>11</v>
      </c>
      <c r="C707" s="3" t="s">
        <v>11</v>
      </c>
      <c r="D707" s="5">
        <f>SUBTOTAL(9, D705:D706)</f>
        <v>0</v>
      </c>
      <c r="E707" s="3" t="s">
        <v>11</v>
      </c>
      <c r="F707" s="5">
        <f>SUBTOTAL(9, F705:F706)</f>
        <v>3070651.77</v>
      </c>
      <c r="G707" s="5">
        <f>SUBTOTAL(9, G705:G706)</f>
        <v>0</v>
      </c>
      <c r="H707" s="5">
        <f>SUBTOTAL(9, H705:H706)</f>
        <v>3070651.77</v>
      </c>
      <c r="I707" s="5">
        <f>IF(F707&lt;&gt;0, ((F707-G707)/F707)*100, 0)</f>
        <v>100</v>
      </c>
    </row>
    <row r="708" spans="1:9" customFormat="1" ht="14.5" x14ac:dyDescent="0.35">
      <c r="D708" s="10"/>
      <c r="F708" s="10"/>
      <c r="G708" s="10"/>
      <c r="H708" s="10"/>
      <c r="I708" s="10"/>
    </row>
    <row r="709" spans="1:9" x14ac:dyDescent="0.25">
      <c r="A709" s="2" t="s">
        <v>344</v>
      </c>
      <c r="B709" s="2" t="s">
        <v>345</v>
      </c>
      <c r="C709" s="2" t="s">
        <v>11</v>
      </c>
      <c r="E709" s="2" t="s">
        <v>11</v>
      </c>
      <c r="F709" s="6">
        <v>441439.5</v>
      </c>
      <c r="H709" s="6">
        <f>F709-G709</f>
        <v>441439.5</v>
      </c>
      <c r="I709" s="6">
        <f>IF(F709&lt;&gt;0, ((F709-G709)/F709)*100, 0)</f>
        <v>100</v>
      </c>
    </row>
    <row r="710" spans="1:9" x14ac:dyDescent="0.25">
      <c r="A710" s="2" t="s">
        <v>344</v>
      </c>
      <c r="B710" s="2" t="s">
        <v>345</v>
      </c>
      <c r="C710" s="2" t="s">
        <v>11</v>
      </c>
      <c r="E710" s="2" t="s">
        <v>11</v>
      </c>
      <c r="F710" s="6">
        <v>7095990.1600000001</v>
      </c>
      <c r="H710" s="6">
        <f>F710-G710</f>
        <v>7095990.1600000001</v>
      </c>
      <c r="I710" s="6">
        <f>IF(F710&lt;&gt;0, ((F710-G710)/F710)*100, 0)</f>
        <v>100</v>
      </c>
    </row>
    <row r="711" spans="1:9" x14ac:dyDescent="0.25">
      <c r="A711" s="2" t="s">
        <v>344</v>
      </c>
      <c r="B711" s="2" t="s">
        <v>345</v>
      </c>
      <c r="C711" s="2" t="s">
        <v>11</v>
      </c>
      <c r="E711" s="2" t="s">
        <v>11</v>
      </c>
      <c r="F711" s="6">
        <v>360185</v>
      </c>
      <c r="H711" s="6">
        <f>F711-G711</f>
        <v>360185</v>
      </c>
      <c r="I711" s="6">
        <f>IF(F711&lt;&gt;0, ((F711-G711)/F711)*100, 0)</f>
        <v>100</v>
      </c>
    </row>
    <row r="712" spans="1:9" x14ac:dyDescent="0.25">
      <c r="A712" s="2" t="s">
        <v>344</v>
      </c>
      <c r="B712" s="2" t="s">
        <v>345</v>
      </c>
      <c r="C712" s="2" t="s">
        <v>11</v>
      </c>
      <c r="E712" s="2" t="s">
        <v>11</v>
      </c>
      <c r="F712" s="6">
        <v>1268504.3999999999</v>
      </c>
      <c r="H712" s="6">
        <f>F712-G712</f>
        <v>1268504.3999999999</v>
      </c>
      <c r="I712" s="6">
        <f>IF(F712&lt;&gt;0, ((F712-G712)/F712)*100, 0)</f>
        <v>100</v>
      </c>
    </row>
    <row r="713" spans="1:9" customFormat="1" ht="14.5" x14ac:dyDescent="0.35">
      <c r="D713" s="10"/>
      <c r="F713" s="10"/>
      <c r="G713" s="10"/>
      <c r="H713" s="10"/>
      <c r="I713" s="10"/>
    </row>
    <row r="714" spans="1:9" s="4" customFormat="1" x14ac:dyDescent="0.25">
      <c r="A714" s="3" t="s">
        <v>11</v>
      </c>
      <c r="B714" s="3" t="s">
        <v>11</v>
      </c>
      <c r="C714" s="3" t="s">
        <v>11</v>
      </c>
      <c r="D714" s="5">
        <f>SUBTOTAL(9, D709:D713)</f>
        <v>0</v>
      </c>
      <c r="E714" s="3" t="s">
        <v>11</v>
      </c>
      <c r="F714" s="5">
        <f>SUBTOTAL(9, F709:F713)</f>
        <v>9166119.0600000005</v>
      </c>
      <c r="G714" s="5">
        <f>SUBTOTAL(9, G709:G713)</f>
        <v>0</v>
      </c>
      <c r="H714" s="5">
        <f>SUBTOTAL(9, H709:H713)</f>
        <v>9166119.0600000005</v>
      </c>
      <c r="I714" s="5">
        <f>IF(F714&lt;&gt;0, ((F714-G714)/F714)*100, 0)</f>
        <v>100</v>
      </c>
    </row>
    <row r="715" spans="1:9" customFormat="1" ht="14.5" x14ac:dyDescent="0.35">
      <c r="D715" s="10"/>
      <c r="F715" s="10"/>
      <c r="G715" s="10"/>
      <c r="H715" s="10"/>
      <c r="I715" s="10"/>
    </row>
    <row r="716" spans="1:9" x14ac:dyDescent="0.25">
      <c r="A716" s="2" t="s">
        <v>346</v>
      </c>
      <c r="B716" s="2" t="s">
        <v>347</v>
      </c>
      <c r="C716" s="2" t="s">
        <v>11</v>
      </c>
      <c r="E716" s="2" t="s">
        <v>11</v>
      </c>
      <c r="F716" s="6">
        <v>126423</v>
      </c>
      <c r="H716" s="6">
        <f>F716-G716</f>
        <v>126423</v>
      </c>
      <c r="I716" s="6">
        <f>IF(F716&lt;&gt;0, ((F716-G716)/F716)*100, 0)</f>
        <v>100</v>
      </c>
    </row>
    <row r="717" spans="1:9" x14ac:dyDescent="0.25">
      <c r="A717" s="2" t="s">
        <v>346</v>
      </c>
      <c r="B717" s="2" t="s">
        <v>347</v>
      </c>
      <c r="C717" s="2" t="s">
        <v>11</v>
      </c>
      <c r="E717" s="2" t="s">
        <v>11</v>
      </c>
      <c r="F717" s="6">
        <v>9094903.0399999991</v>
      </c>
      <c r="H717" s="6">
        <f>F717-G717</f>
        <v>9094903.0399999991</v>
      </c>
      <c r="I717" s="6">
        <f>IF(F717&lt;&gt;0, ((F717-G717)/F717)*100, 0)</f>
        <v>100</v>
      </c>
    </row>
    <row r="718" spans="1:9" x14ac:dyDescent="0.25">
      <c r="A718" s="2" t="s">
        <v>346</v>
      </c>
      <c r="B718" s="2" t="s">
        <v>347</v>
      </c>
      <c r="C718" s="2" t="s">
        <v>11</v>
      </c>
      <c r="E718" s="2" t="s">
        <v>11</v>
      </c>
      <c r="F718" s="6">
        <v>2099395</v>
      </c>
      <c r="H718" s="6">
        <f>F718-G718</f>
        <v>2099395</v>
      </c>
      <c r="I718" s="6">
        <f>IF(F718&lt;&gt;0, ((F718-G718)/F718)*100, 0)</f>
        <v>100</v>
      </c>
    </row>
    <row r="719" spans="1:9" x14ac:dyDescent="0.25">
      <c r="A719" s="2" t="s">
        <v>346</v>
      </c>
      <c r="B719" s="2" t="s">
        <v>347</v>
      </c>
      <c r="C719" s="2" t="s">
        <v>11</v>
      </c>
      <c r="E719" s="2" t="s">
        <v>11</v>
      </c>
      <c r="F719" s="6">
        <v>162543</v>
      </c>
      <c r="H719" s="6">
        <f>F719-G719</f>
        <v>162543</v>
      </c>
      <c r="I719" s="6">
        <f>IF(F719&lt;&gt;0, ((F719-G719)/F719)*100, 0)</f>
        <v>100</v>
      </c>
    </row>
    <row r="720" spans="1:9" customFormat="1" ht="14.5" x14ac:dyDescent="0.35">
      <c r="D720" s="10"/>
      <c r="F720" s="10"/>
      <c r="G720" s="10"/>
      <c r="H720" s="10"/>
      <c r="I720" s="10"/>
    </row>
    <row r="721" spans="1:9" s="4" customFormat="1" x14ac:dyDescent="0.25">
      <c r="A721" s="3" t="s">
        <v>11</v>
      </c>
      <c r="B721" s="3" t="s">
        <v>11</v>
      </c>
      <c r="C721" s="3" t="s">
        <v>11</v>
      </c>
      <c r="D721" s="5">
        <f>SUBTOTAL(9, D716:D720)</f>
        <v>0</v>
      </c>
      <c r="E721" s="3" t="s">
        <v>11</v>
      </c>
      <c r="F721" s="5">
        <f>SUBTOTAL(9, F716:F720)</f>
        <v>11483264.039999999</v>
      </c>
      <c r="G721" s="5">
        <f>SUBTOTAL(9, G716:G720)</f>
        <v>0</v>
      </c>
      <c r="H721" s="5">
        <f>SUBTOTAL(9, H716:H720)</f>
        <v>11483264.039999999</v>
      </c>
      <c r="I721" s="5">
        <f>IF(F721&lt;&gt;0, ((F721-G721)/F721)*100, 0)</f>
        <v>100</v>
      </c>
    </row>
    <row r="722" spans="1:9" customFormat="1" ht="14.5" x14ac:dyDescent="0.35">
      <c r="D722" s="10"/>
      <c r="F722" s="10"/>
      <c r="G722" s="10"/>
      <c r="H722" s="10"/>
      <c r="I722" s="10"/>
    </row>
    <row r="723" spans="1:9" x14ac:dyDescent="0.25">
      <c r="A723" s="2" t="s">
        <v>348</v>
      </c>
      <c r="B723" s="2" t="s">
        <v>349</v>
      </c>
      <c r="C723" s="2" t="s">
        <v>11</v>
      </c>
      <c r="E723" s="2" t="s">
        <v>11</v>
      </c>
      <c r="F723" s="6">
        <v>2779826.8</v>
      </c>
      <c r="H723" s="6">
        <f>F723-G723</f>
        <v>2779826.8</v>
      </c>
      <c r="I723" s="6">
        <f>IF(F723&lt;&gt;0, ((F723-G723)/F723)*100, 0)</f>
        <v>100</v>
      </c>
    </row>
    <row r="724" spans="1:9" x14ac:dyDescent="0.25">
      <c r="A724" s="2" t="s">
        <v>348</v>
      </c>
      <c r="B724" s="2" t="s">
        <v>349</v>
      </c>
      <c r="C724" s="2" t="s">
        <v>11</v>
      </c>
      <c r="E724" s="2" t="s">
        <v>11</v>
      </c>
      <c r="F724" s="6">
        <v>60875</v>
      </c>
      <c r="H724" s="6">
        <f>F724-G724</f>
        <v>60875</v>
      </c>
      <c r="I724" s="6">
        <f>IF(F724&lt;&gt;0, ((F724-G724)/F724)*100, 0)</f>
        <v>100</v>
      </c>
    </row>
    <row r="725" spans="1:9" customFormat="1" ht="14.5" x14ac:dyDescent="0.35">
      <c r="D725" s="10"/>
      <c r="F725" s="10"/>
      <c r="G725" s="10"/>
      <c r="H725" s="10"/>
      <c r="I725" s="10"/>
    </row>
    <row r="726" spans="1:9" s="4" customFormat="1" x14ac:dyDescent="0.25">
      <c r="A726" s="3" t="s">
        <v>11</v>
      </c>
      <c r="B726" s="3" t="s">
        <v>11</v>
      </c>
      <c r="C726" s="3" t="s">
        <v>11</v>
      </c>
      <c r="D726" s="5">
        <f>SUBTOTAL(9, D723:D725)</f>
        <v>0</v>
      </c>
      <c r="E726" s="3" t="s">
        <v>11</v>
      </c>
      <c r="F726" s="5">
        <f>SUBTOTAL(9, F723:F725)</f>
        <v>2840701.8</v>
      </c>
      <c r="G726" s="5">
        <f>SUBTOTAL(9, G723:G725)</f>
        <v>0</v>
      </c>
      <c r="H726" s="5">
        <f>SUBTOTAL(9, H723:H725)</f>
        <v>2840701.8</v>
      </c>
      <c r="I726" s="5">
        <f>IF(F726&lt;&gt;0, ((F726-G726)/F726)*100, 0)</f>
        <v>100</v>
      </c>
    </row>
    <row r="727" spans="1:9" customFormat="1" ht="14.5" x14ac:dyDescent="0.35">
      <c r="D727" s="10"/>
      <c r="F727" s="10"/>
      <c r="G727" s="10"/>
      <c r="H727" s="10"/>
      <c r="I727" s="10"/>
    </row>
    <row r="728" spans="1:9" x14ac:dyDescent="0.25">
      <c r="A728" s="2" t="s">
        <v>350</v>
      </c>
      <c r="B728" s="2" t="s">
        <v>351</v>
      </c>
      <c r="C728" s="2" t="s">
        <v>11</v>
      </c>
      <c r="E728" s="2" t="s">
        <v>11</v>
      </c>
      <c r="F728" s="6">
        <v>1653464</v>
      </c>
      <c r="H728" s="6">
        <f>F728-G728</f>
        <v>1653464</v>
      </c>
      <c r="I728" s="6">
        <f>IF(F728&lt;&gt;0, ((F728-G728)/F728)*100, 0)</f>
        <v>100</v>
      </c>
    </row>
    <row r="729" spans="1:9" customFormat="1" ht="14.5" x14ac:dyDescent="0.35">
      <c r="D729" s="10"/>
      <c r="F729" s="10"/>
      <c r="G729" s="10"/>
      <c r="H729" s="10"/>
      <c r="I729" s="10"/>
    </row>
    <row r="730" spans="1:9" s="4" customFormat="1" x14ac:dyDescent="0.25">
      <c r="A730" s="3" t="s">
        <v>11</v>
      </c>
      <c r="B730" s="3" t="s">
        <v>11</v>
      </c>
      <c r="C730" s="3" t="s">
        <v>11</v>
      </c>
      <c r="D730" s="5">
        <f>SUBTOTAL(9, D728:D729)</f>
        <v>0</v>
      </c>
      <c r="E730" s="3" t="s">
        <v>11</v>
      </c>
      <c r="F730" s="5">
        <f>SUBTOTAL(9, F728:F729)</f>
        <v>1653464</v>
      </c>
      <c r="G730" s="5">
        <f>SUBTOTAL(9, G728:G729)</f>
        <v>0</v>
      </c>
      <c r="H730" s="5">
        <f>SUBTOTAL(9, H728:H729)</f>
        <v>1653464</v>
      </c>
      <c r="I730" s="5">
        <f>IF(F730&lt;&gt;0, ((F730-G730)/F730)*100, 0)</f>
        <v>100</v>
      </c>
    </row>
    <row r="731" spans="1:9" customFormat="1" ht="14.5" x14ac:dyDescent="0.35">
      <c r="D731" s="10"/>
      <c r="F731" s="10"/>
      <c r="G731" s="10"/>
      <c r="H731" s="10"/>
      <c r="I731" s="10"/>
    </row>
    <row r="732" spans="1:9" x14ac:dyDescent="0.25">
      <c r="A732" s="2" t="s">
        <v>352</v>
      </c>
      <c r="B732" s="2" t="s">
        <v>353</v>
      </c>
      <c r="C732" s="2" t="s">
        <v>11</v>
      </c>
      <c r="E732" s="2" t="s">
        <v>11</v>
      </c>
      <c r="F732" s="6">
        <v>15770</v>
      </c>
      <c r="H732" s="6">
        <f>F732-G732</f>
        <v>15770</v>
      </c>
      <c r="I732" s="6">
        <f>IF(F732&lt;&gt;0, ((F732-G732)/F732)*100, 0)</f>
        <v>100</v>
      </c>
    </row>
    <row r="733" spans="1:9" x14ac:dyDescent="0.25">
      <c r="A733" s="2" t="s">
        <v>352</v>
      </c>
      <c r="B733" s="2" t="s">
        <v>353</v>
      </c>
      <c r="C733" s="2" t="s">
        <v>11</v>
      </c>
      <c r="E733" s="2" t="s">
        <v>11</v>
      </c>
      <c r="F733" s="6">
        <v>29078361.449999999</v>
      </c>
      <c r="H733" s="6">
        <f>F733-G733</f>
        <v>29078361.449999999</v>
      </c>
      <c r="I733" s="6">
        <f>IF(F733&lt;&gt;0, ((F733-G733)/F733)*100, 0)</f>
        <v>100</v>
      </c>
    </row>
    <row r="734" spans="1:9" customFormat="1" ht="14.5" x14ac:dyDescent="0.35">
      <c r="D734" s="10"/>
      <c r="F734" s="10"/>
      <c r="G734" s="10"/>
      <c r="H734" s="10"/>
      <c r="I734" s="10"/>
    </row>
    <row r="735" spans="1:9" s="4" customFormat="1" x14ac:dyDescent="0.25">
      <c r="A735" s="3" t="s">
        <v>11</v>
      </c>
      <c r="B735" s="3" t="s">
        <v>11</v>
      </c>
      <c r="C735" s="3" t="s">
        <v>11</v>
      </c>
      <c r="D735" s="5">
        <f>SUBTOTAL(9, D732:D734)</f>
        <v>0</v>
      </c>
      <c r="E735" s="3" t="s">
        <v>11</v>
      </c>
      <c r="F735" s="5">
        <f>SUBTOTAL(9, F732:F734)</f>
        <v>29094131.449999999</v>
      </c>
      <c r="G735" s="5">
        <f>SUBTOTAL(9, G732:G734)</f>
        <v>0</v>
      </c>
      <c r="H735" s="5">
        <f>SUBTOTAL(9, H732:H734)</f>
        <v>29094131.449999999</v>
      </c>
      <c r="I735" s="5">
        <f>IF(F735&lt;&gt;0, ((F735-G735)/F735)*100, 0)</f>
        <v>100</v>
      </c>
    </row>
    <row r="736" spans="1:9" customFormat="1" ht="14.5" x14ac:dyDescent="0.35">
      <c r="D736" s="10"/>
      <c r="F736" s="10"/>
      <c r="G736" s="10"/>
      <c r="H736" s="10"/>
      <c r="I736" s="10"/>
    </row>
    <row r="737" spans="1:9" x14ac:dyDescent="0.25">
      <c r="A737" s="2" t="s">
        <v>354</v>
      </c>
      <c r="B737" s="2" t="s">
        <v>355</v>
      </c>
      <c r="C737" s="2" t="s">
        <v>11</v>
      </c>
      <c r="E737" s="2" t="s">
        <v>11</v>
      </c>
      <c r="F737" s="6">
        <v>21135</v>
      </c>
      <c r="H737" s="6">
        <f>F737-G737</f>
        <v>21135</v>
      </c>
      <c r="I737" s="6">
        <f>IF(F737&lt;&gt;0, ((F737-G737)/F737)*100, 0)</f>
        <v>100</v>
      </c>
    </row>
    <row r="738" spans="1:9" x14ac:dyDescent="0.25">
      <c r="A738" s="2" t="s">
        <v>354</v>
      </c>
      <c r="B738" s="2" t="s">
        <v>355</v>
      </c>
      <c r="C738" s="2" t="s">
        <v>11</v>
      </c>
      <c r="E738" s="2" t="s">
        <v>11</v>
      </c>
      <c r="F738" s="6">
        <v>256969</v>
      </c>
      <c r="H738" s="6">
        <f>F738-G738</f>
        <v>256969</v>
      </c>
      <c r="I738" s="6">
        <f>IF(F738&lt;&gt;0, ((F738-G738)/F738)*100, 0)</f>
        <v>100</v>
      </c>
    </row>
    <row r="739" spans="1:9" x14ac:dyDescent="0.25">
      <c r="A739" s="2" t="s">
        <v>354</v>
      </c>
      <c r="B739" s="2" t="s">
        <v>355</v>
      </c>
      <c r="C739" s="2" t="s">
        <v>11</v>
      </c>
      <c r="E739" s="2" t="s">
        <v>11</v>
      </c>
      <c r="F739" s="6">
        <v>7950</v>
      </c>
      <c r="H739" s="6">
        <f>F739-G739</f>
        <v>7950</v>
      </c>
      <c r="I739" s="6">
        <f>IF(F739&lt;&gt;0, ((F739-G739)/F739)*100, 0)</f>
        <v>100</v>
      </c>
    </row>
    <row r="740" spans="1:9" customFormat="1" ht="14.5" x14ac:dyDescent="0.35">
      <c r="D740" s="10"/>
      <c r="F740" s="10"/>
      <c r="G740" s="10"/>
      <c r="H740" s="10"/>
      <c r="I740" s="10"/>
    </row>
    <row r="741" spans="1:9" s="4" customFormat="1" x14ac:dyDescent="0.25">
      <c r="A741" s="3" t="s">
        <v>11</v>
      </c>
      <c r="B741" s="3" t="s">
        <v>11</v>
      </c>
      <c r="C741" s="3" t="s">
        <v>11</v>
      </c>
      <c r="D741" s="5">
        <f>SUBTOTAL(9, D737:D740)</f>
        <v>0</v>
      </c>
      <c r="E741" s="3" t="s">
        <v>11</v>
      </c>
      <c r="F741" s="5">
        <f>SUBTOTAL(9, F737:F740)</f>
        <v>286054</v>
      </c>
      <c r="G741" s="5">
        <f>SUBTOTAL(9, G737:G740)</f>
        <v>0</v>
      </c>
      <c r="H741" s="5">
        <f>SUBTOTAL(9, H737:H740)</f>
        <v>286054</v>
      </c>
      <c r="I741" s="5">
        <f>IF(F741&lt;&gt;0, ((F741-G741)/F741)*100, 0)</f>
        <v>100</v>
      </c>
    </row>
    <row r="742" spans="1:9" customFormat="1" ht="14.5" x14ac:dyDescent="0.35">
      <c r="D742" s="10"/>
      <c r="F742" s="10"/>
      <c r="G742" s="10"/>
      <c r="H742" s="10"/>
      <c r="I742" s="10"/>
    </row>
    <row r="743" spans="1:9" x14ac:dyDescent="0.25">
      <c r="A743" s="2" t="s">
        <v>356</v>
      </c>
      <c r="B743" s="2" t="s">
        <v>357</v>
      </c>
      <c r="C743" s="2" t="s">
        <v>11</v>
      </c>
      <c r="E743" s="2" t="s">
        <v>11</v>
      </c>
      <c r="F743" s="6">
        <v>507376</v>
      </c>
      <c r="H743" s="6">
        <f>F743-G743</f>
        <v>507376</v>
      </c>
      <c r="I743" s="6">
        <f>IF(F743&lt;&gt;0, ((F743-G743)/F743)*100, 0)</f>
        <v>100</v>
      </c>
    </row>
    <row r="744" spans="1:9" customFormat="1" ht="14.5" x14ac:dyDescent="0.35">
      <c r="D744" s="10"/>
      <c r="F744" s="10"/>
      <c r="G744" s="10"/>
      <c r="H744" s="10"/>
      <c r="I744" s="10"/>
    </row>
    <row r="745" spans="1:9" s="4" customFormat="1" x14ac:dyDescent="0.25">
      <c r="A745" s="3" t="s">
        <v>11</v>
      </c>
      <c r="B745" s="3" t="s">
        <v>11</v>
      </c>
      <c r="C745" s="3" t="s">
        <v>11</v>
      </c>
      <c r="D745" s="5">
        <f>SUBTOTAL(9, D743:D744)</f>
        <v>0</v>
      </c>
      <c r="E745" s="3" t="s">
        <v>11</v>
      </c>
      <c r="F745" s="5">
        <f>SUBTOTAL(9, F743:F744)</f>
        <v>507376</v>
      </c>
      <c r="G745" s="5">
        <f>SUBTOTAL(9, G743:G744)</f>
        <v>0</v>
      </c>
      <c r="H745" s="5">
        <f>SUBTOTAL(9, H743:H744)</f>
        <v>507376</v>
      </c>
      <c r="I745" s="5">
        <f>IF(F745&lt;&gt;0, ((F745-G745)/F745)*100, 0)</f>
        <v>100</v>
      </c>
    </row>
    <row r="746" spans="1:9" customFormat="1" ht="14.5" x14ac:dyDescent="0.35">
      <c r="D746" s="10"/>
      <c r="F746" s="10"/>
      <c r="G746" s="10"/>
      <c r="H746" s="10"/>
      <c r="I746" s="10"/>
    </row>
    <row r="747" spans="1:9" x14ac:dyDescent="0.25">
      <c r="A747" s="2" t="s">
        <v>358</v>
      </c>
      <c r="B747" s="2" t="s">
        <v>359</v>
      </c>
      <c r="C747" s="2" t="s">
        <v>11</v>
      </c>
      <c r="E747" s="2" t="s">
        <v>11</v>
      </c>
      <c r="F747" s="6">
        <v>39340</v>
      </c>
      <c r="H747" s="6">
        <f>F747-G747</f>
        <v>39340</v>
      </c>
      <c r="I747" s="6">
        <f>IF(F747&lt;&gt;0, ((F747-G747)/F747)*100, 0)</f>
        <v>100</v>
      </c>
    </row>
    <row r="748" spans="1:9" x14ac:dyDescent="0.25">
      <c r="A748" s="2" t="s">
        <v>358</v>
      </c>
      <c r="B748" s="2" t="s">
        <v>359</v>
      </c>
      <c r="C748" s="2" t="s">
        <v>11</v>
      </c>
      <c r="E748" s="2" t="s">
        <v>11</v>
      </c>
      <c r="F748" s="6">
        <v>4744483.75</v>
      </c>
      <c r="H748" s="6">
        <f>F748-G748</f>
        <v>4744483.75</v>
      </c>
      <c r="I748" s="6">
        <f>IF(F748&lt;&gt;0, ((F748-G748)/F748)*100, 0)</f>
        <v>100</v>
      </c>
    </row>
    <row r="749" spans="1:9" customFormat="1" ht="14.5" x14ac:dyDescent="0.35">
      <c r="D749" s="10"/>
      <c r="F749" s="10"/>
      <c r="G749" s="10"/>
      <c r="H749" s="10"/>
      <c r="I749" s="10"/>
    </row>
    <row r="750" spans="1:9" s="4" customFormat="1" x14ac:dyDescent="0.25">
      <c r="A750" s="3" t="s">
        <v>11</v>
      </c>
      <c r="B750" s="3" t="s">
        <v>11</v>
      </c>
      <c r="C750" s="3" t="s">
        <v>11</v>
      </c>
      <c r="D750" s="5">
        <f>SUBTOTAL(9, D747:D749)</f>
        <v>0</v>
      </c>
      <c r="E750" s="3" t="s">
        <v>11</v>
      </c>
      <c r="F750" s="5">
        <f>SUBTOTAL(9, F747:F749)</f>
        <v>4783823.75</v>
      </c>
      <c r="G750" s="5">
        <f>SUBTOTAL(9, G747:G749)</f>
        <v>0</v>
      </c>
      <c r="H750" s="5">
        <f>SUBTOTAL(9, H747:H749)</f>
        <v>4783823.75</v>
      </c>
      <c r="I750" s="5">
        <f>IF(F750&lt;&gt;0, ((F750-G750)/F750)*100, 0)</f>
        <v>100</v>
      </c>
    </row>
    <row r="751" spans="1:9" customFormat="1" ht="14.5" x14ac:dyDescent="0.35">
      <c r="D751" s="10"/>
      <c r="F751" s="10"/>
      <c r="G751" s="10"/>
      <c r="H751" s="10"/>
      <c r="I751" s="10"/>
    </row>
    <row r="752" spans="1:9" x14ac:dyDescent="0.25">
      <c r="A752" s="2" t="s">
        <v>360</v>
      </c>
      <c r="B752" s="2" t="s">
        <v>361</v>
      </c>
      <c r="C752" s="2" t="s">
        <v>11</v>
      </c>
      <c r="E752" s="2" t="s">
        <v>11</v>
      </c>
      <c r="F752" s="6">
        <v>20426413.52</v>
      </c>
      <c r="H752" s="6">
        <f>F752-G752</f>
        <v>20426413.52</v>
      </c>
      <c r="I752" s="6">
        <f>IF(F752&lt;&gt;0, ((F752-G752)/F752)*100, 0)</f>
        <v>100</v>
      </c>
    </row>
    <row r="753" spans="1:9" customFormat="1" ht="14.5" x14ac:dyDescent="0.35">
      <c r="D753" s="10"/>
      <c r="F753" s="10"/>
      <c r="G753" s="10"/>
      <c r="H753" s="10"/>
      <c r="I753" s="10"/>
    </row>
    <row r="754" spans="1:9" s="4" customFormat="1" x14ac:dyDescent="0.25">
      <c r="A754" s="3" t="s">
        <v>11</v>
      </c>
      <c r="B754" s="3" t="s">
        <v>11</v>
      </c>
      <c r="C754" s="3" t="s">
        <v>11</v>
      </c>
      <c r="D754" s="5">
        <f>SUBTOTAL(9, D752:D753)</f>
        <v>0</v>
      </c>
      <c r="E754" s="3" t="s">
        <v>11</v>
      </c>
      <c r="F754" s="5">
        <f>SUBTOTAL(9, F752:F753)</f>
        <v>20426413.52</v>
      </c>
      <c r="G754" s="5">
        <f>SUBTOTAL(9, G752:G753)</f>
        <v>0</v>
      </c>
      <c r="H754" s="5">
        <f>SUBTOTAL(9, H752:H753)</f>
        <v>20426413.52</v>
      </c>
      <c r="I754" s="5">
        <f>IF(F754&lt;&gt;0, ((F754-G754)/F754)*100, 0)</f>
        <v>100</v>
      </c>
    </row>
    <row r="755" spans="1:9" customFormat="1" ht="14.5" x14ac:dyDescent="0.35">
      <c r="D755" s="10"/>
      <c r="F755" s="10"/>
      <c r="G755" s="10"/>
      <c r="H755" s="10"/>
      <c r="I755" s="10"/>
    </row>
    <row r="756" spans="1:9" x14ac:dyDescent="0.25">
      <c r="A756" s="2" t="s">
        <v>362</v>
      </c>
      <c r="B756" s="2" t="s">
        <v>363</v>
      </c>
      <c r="C756" s="2" t="s">
        <v>11</v>
      </c>
      <c r="E756" s="2" t="s">
        <v>11</v>
      </c>
      <c r="F756" s="6">
        <v>3140075</v>
      </c>
      <c r="H756" s="6">
        <f>F756-G756</f>
        <v>3140075</v>
      </c>
      <c r="I756" s="6">
        <f>IF(F756&lt;&gt;0, ((F756-G756)/F756)*100, 0)</f>
        <v>100</v>
      </c>
    </row>
    <row r="757" spans="1:9" customFormat="1" ht="14.5" x14ac:dyDescent="0.35">
      <c r="D757" s="10"/>
      <c r="F757" s="10"/>
      <c r="G757" s="10"/>
      <c r="H757" s="10"/>
      <c r="I757" s="10"/>
    </row>
    <row r="758" spans="1:9" s="4" customFormat="1" x14ac:dyDescent="0.25">
      <c r="A758" s="3" t="s">
        <v>11</v>
      </c>
      <c r="B758" s="3" t="s">
        <v>11</v>
      </c>
      <c r="C758" s="3" t="s">
        <v>11</v>
      </c>
      <c r="D758" s="5">
        <f>SUBTOTAL(9, D756:D757)</f>
        <v>0</v>
      </c>
      <c r="E758" s="3" t="s">
        <v>11</v>
      </c>
      <c r="F758" s="5">
        <f>SUBTOTAL(9, F756:F757)</f>
        <v>3140075</v>
      </c>
      <c r="G758" s="5">
        <f>SUBTOTAL(9, G756:G757)</f>
        <v>0</v>
      </c>
      <c r="H758" s="5">
        <f>SUBTOTAL(9, H756:H757)</f>
        <v>3140075</v>
      </c>
      <c r="I758" s="5">
        <f>IF(F758&lt;&gt;0, ((F758-G758)/F758)*100, 0)</f>
        <v>100</v>
      </c>
    </row>
    <row r="759" spans="1:9" customFormat="1" ht="14.5" x14ac:dyDescent="0.35">
      <c r="D759" s="10"/>
      <c r="F759" s="10"/>
      <c r="G759" s="10"/>
      <c r="H759" s="10"/>
      <c r="I759" s="10"/>
    </row>
    <row r="760" spans="1:9" x14ac:dyDescent="0.25">
      <c r="A760" s="2" t="s">
        <v>364</v>
      </c>
      <c r="B760" s="2" t="s">
        <v>365</v>
      </c>
      <c r="C760" s="2" t="s">
        <v>11</v>
      </c>
      <c r="E760" s="2" t="s">
        <v>11</v>
      </c>
      <c r="F760" s="6">
        <v>215776471.56999999</v>
      </c>
      <c r="H760" s="6">
        <f>F760-G760</f>
        <v>215776471.56999999</v>
      </c>
      <c r="I760" s="6">
        <f>IF(F760&lt;&gt;0, ((F760-G760)/F760)*100, 0)</f>
        <v>100</v>
      </c>
    </row>
    <row r="761" spans="1:9" x14ac:dyDescent="0.25">
      <c r="A761" s="2" t="s">
        <v>364</v>
      </c>
      <c r="B761" s="2" t="s">
        <v>365</v>
      </c>
      <c r="C761" s="2" t="s">
        <v>11</v>
      </c>
      <c r="E761" s="2" t="s">
        <v>11</v>
      </c>
      <c r="F761" s="6">
        <v>1259274.8</v>
      </c>
      <c r="H761" s="6">
        <f>F761-G761</f>
        <v>1259274.8</v>
      </c>
      <c r="I761" s="6">
        <f>IF(F761&lt;&gt;0, ((F761-G761)/F761)*100, 0)</f>
        <v>100</v>
      </c>
    </row>
    <row r="762" spans="1:9" x14ac:dyDescent="0.25">
      <c r="A762" s="2" t="s">
        <v>364</v>
      </c>
      <c r="B762" s="2" t="s">
        <v>365</v>
      </c>
      <c r="C762" s="2" t="s">
        <v>11</v>
      </c>
      <c r="E762" s="2" t="s">
        <v>11</v>
      </c>
      <c r="F762" s="6">
        <v>5133430.3099999996</v>
      </c>
      <c r="H762" s="6">
        <f>F762-G762</f>
        <v>5133430.3099999996</v>
      </c>
      <c r="I762" s="6">
        <f>IF(F762&lt;&gt;0, ((F762-G762)/F762)*100, 0)</f>
        <v>100</v>
      </c>
    </row>
    <row r="763" spans="1:9" customFormat="1" ht="14.5" x14ac:dyDescent="0.35">
      <c r="D763" s="10"/>
      <c r="F763" s="10"/>
      <c r="G763" s="10"/>
      <c r="H763" s="10"/>
      <c r="I763" s="10"/>
    </row>
    <row r="764" spans="1:9" s="4" customFormat="1" x14ac:dyDescent="0.25">
      <c r="A764" s="3" t="s">
        <v>11</v>
      </c>
      <c r="B764" s="3" t="s">
        <v>11</v>
      </c>
      <c r="C764" s="3" t="s">
        <v>11</v>
      </c>
      <c r="D764" s="5">
        <f>SUBTOTAL(9, D760:D763)</f>
        <v>0</v>
      </c>
      <c r="E764" s="3" t="s">
        <v>11</v>
      </c>
      <c r="F764" s="5">
        <f>SUBTOTAL(9, F760:F763)</f>
        <v>222169176.68000001</v>
      </c>
      <c r="G764" s="5">
        <f>SUBTOTAL(9, G760:G763)</f>
        <v>0</v>
      </c>
      <c r="H764" s="5">
        <f>SUBTOTAL(9, H760:H763)</f>
        <v>222169176.68000001</v>
      </c>
      <c r="I764" s="5">
        <f>IF(F764&lt;&gt;0, ((F764-G764)/F764)*100, 0)</f>
        <v>100</v>
      </c>
    </row>
    <row r="765" spans="1:9" customFormat="1" ht="14.5" x14ac:dyDescent="0.35">
      <c r="D765" s="10"/>
      <c r="F765" s="10"/>
      <c r="G765" s="10"/>
      <c r="H765" s="10"/>
      <c r="I765" s="10"/>
    </row>
    <row r="766" spans="1:9" x14ac:dyDescent="0.25">
      <c r="A766" s="2" t="s">
        <v>366</v>
      </c>
      <c r="B766" s="2" t="s">
        <v>367</v>
      </c>
      <c r="C766" s="2" t="s">
        <v>11</v>
      </c>
      <c r="E766" s="2" t="s">
        <v>11</v>
      </c>
      <c r="F766" s="6">
        <v>486300</v>
      </c>
      <c r="H766" s="6">
        <f>F766-G766</f>
        <v>486300</v>
      </c>
      <c r="I766" s="6">
        <f>IF(F766&lt;&gt;0, ((F766-G766)/F766)*100, 0)</f>
        <v>100</v>
      </c>
    </row>
    <row r="767" spans="1:9" customFormat="1" ht="14.5" x14ac:dyDescent="0.35">
      <c r="D767" s="10"/>
      <c r="F767" s="10"/>
      <c r="G767" s="10"/>
      <c r="H767" s="10"/>
      <c r="I767" s="10"/>
    </row>
    <row r="768" spans="1:9" s="4" customFormat="1" x14ac:dyDescent="0.25">
      <c r="A768" s="3" t="s">
        <v>11</v>
      </c>
      <c r="B768" s="3" t="s">
        <v>11</v>
      </c>
      <c r="C768" s="3" t="s">
        <v>11</v>
      </c>
      <c r="D768" s="5">
        <f>SUBTOTAL(9, D766:D767)</f>
        <v>0</v>
      </c>
      <c r="E768" s="3" t="s">
        <v>11</v>
      </c>
      <c r="F768" s="5">
        <f>SUBTOTAL(9, F766:F767)</f>
        <v>486300</v>
      </c>
      <c r="G768" s="5">
        <f>SUBTOTAL(9, G766:G767)</f>
        <v>0</v>
      </c>
      <c r="H768" s="5">
        <f>SUBTOTAL(9, H766:H767)</f>
        <v>486300</v>
      </c>
      <c r="I768" s="5">
        <f>IF(F768&lt;&gt;0, ((F768-G768)/F768)*100, 0)</f>
        <v>100</v>
      </c>
    </row>
    <row r="769" spans="1:9" customFormat="1" ht="14.5" x14ac:dyDescent="0.35">
      <c r="D769" s="10"/>
      <c r="F769" s="10"/>
      <c r="G769" s="10"/>
      <c r="H769" s="10"/>
      <c r="I769" s="10"/>
    </row>
    <row r="770" spans="1:9" x14ac:dyDescent="0.25">
      <c r="A770" s="2" t="s">
        <v>368</v>
      </c>
      <c r="B770" s="2" t="s">
        <v>369</v>
      </c>
      <c r="C770" s="2" t="s">
        <v>11</v>
      </c>
      <c r="E770" s="2" t="s">
        <v>11</v>
      </c>
      <c r="F770" s="6">
        <v>5413121</v>
      </c>
      <c r="H770" s="6">
        <f>F770-G770</f>
        <v>5413121</v>
      </c>
      <c r="I770" s="6">
        <f>IF(F770&lt;&gt;0, ((F770-G770)/F770)*100, 0)</f>
        <v>100</v>
      </c>
    </row>
    <row r="771" spans="1:9" x14ac:dyDescent="0.25">
      <c r="A771" s="2" t="s">
        <v>368</v>
      </c>
      <c r="B771" s="2" t="s">
        <v>369</v>
      </c>
      <c r="C771" s="2" t="s">
        <v>11</v>
      </c>
      <c r="E771" s="2" t="s">
        <v>11</v>
      </c>
      <c r="F771" s="6">
        <v>908144</v>
      </c>
      <c r="H771" s="6">
        <f>F771-G771</f>
        <v>908144</v>
      </c>
      <c r="I771" s="6">
        <f>IF(F771&lt;&gt;0, ((F771-G771)/F771)*100, 0)</f>
        <v>100</v>
      </c>
    </row>
    <row r="772" spans="1:9" customFormat="1" ht="14.5" x14ac:dyDescent="0.35">
      <c r="D772" s="10"/>
      <c r="F772" s="10"/>
      <c r="G772" s="10"/>
      <c r="H772" s="10"/>
      <c r="I772" s="10"/>
    </row>
    <row r="773" spans="1:9" s="4" customFormat="1" x14ac:dyDescent="0.25">
      <c r="A773" s="3" t="s">
        <v>11</v>
      </c>
      <c r="B773" s="3" t="s">
        <v>11</v>
      </c>
      <c r="C773" s="3" t="s">
        <v>11</v>
      </c>
      <c r="D773" s="5">
        <f>SUBTOTAL(9, D770:D772)</f>
        <v>0</v>
      </c>
      <c r="E773" s="3" t="s">
        <v>11</v>
      </c>
      <c r="F773" s="5">
        <f>SUBTOTAL(9, F770:F772)</f>
        <v>6321265</v>
      </c>
      <c r="G773" s="5">
        <f>SUBTOTAL(9, G770:G772)</f>
        <v>0</v>
      </c>
      <c r="H773" s="5">
        <f>SUBTOTAL(9, H770:H772)</f>
        <v>6321265</v>
      </c>
      <c r="I773" s="5">
        <f>IF(F773&lt;&gt;0, ((F773-G773)/F773)*100, 0)</f>
        <v>100</v>
      </c>
    </row>
    <row r="774" spans="1:9" customFormat="1" ht="14.5" x14ac:dyDescent="0.35">
      <c r="D774" s="10"/>
      <c r="F774" s="10"/>
      <c r="G774" s="10"/>
      <c r="H774" s="10"/>
      <c r="I774" s="10"/>
    </row>
    <row r="775" spans="1:9" x14ac:dyDescent="0.25">
      <c r="A775" s="2" t="s">
        <v>370</v>
      </c>
      <c r="B775" s="2" t="s">
        <v>371</v>
      </c>
      <c r="C775" s="2" t="s">
        <v>11</v>
      </c>
      <c r="E775" s="2" t="s">
        <v>11</v>
      </c>
      <c r="F775" s="6">
        <v>402907</v>
      </c>
      <c r="H775" s="6">
        <f>F775-G775</f>
        <v>402907</v>
      </c>
      <c r="I775" s="6">
        <f>IF(F775&lt;&gt;0, ((F775-G775)/F775)*100, 0)</f>
        <v>100</v>
      </c>
    </row>
    <row r="776" spans="1:9" x14ac:dyDescent="0.25">
      <c r="A776" s="2" t="s">
        <v>370</v>
      </c>
      <c r="B776" s="2" t="s">
        <v>371</v>
      </c>
      <c r="C776" s="2" t="s">
        <v>11</v>
      </c>
      <c r="E776" s="2" t="s">
        <v>11</v>
      </c>
      <c r="F776" s="6">
        <v>4123284.2</v>
      </c>
      <c r="H776" s="6">
        <f>F776-G776</f>
        <v>4123284.2</v>
      </c>
      <c r="I776" s="6">
        <f>IF(F776&lt;&gt;0, ((F776-G776)/F776)*100, 0)</f>
        <v>100</v>
      </c>
    </row>
    <row r="777" spans="1:9" customFormat="1" ht="14.5" x14ac:dyDescent="0.35">
      <c r="D777" s="10"/>
      <c r="F777" s="10"/>
      <c r="G777" s="10"/>
      <c r="H777" s="10"/>
      <c r="I777" s="10"/>
    </row>
    <row r="778" spans="1:9" s="4" customFormat="1" x14ac:dyDescent="0.25">
      <c r="A778" s="3" t="s">
        <v>11</v>
      </c>
      <c r="B778" s="3" t="s">
        <v>11</v>
      </c>
      <c r="C778" s="3" t="s">
        <v>11</v>
      </c>
      <c r="D778" s="5">
        <f>SUBTOTAL(9, D775:D777)</f>
        <v>0</v>
      </c>
      <c r="E778" s="3" t="s">
        <v>11</v>
      </c>
      <c r="F778" s="5">
        <f>SUBTOTAL(9, F775:F777)</f>
        <v>4526191.2</v>
      </c>
      <c r="G778" s="5">
        <f>SUBTOTAL(9, G775:G777)</f>
        <v>0</v>
      </c>
      <c r="H778" s="5">
        <f>SUBTOTAL(9, H775:H777)</f>
        <v>4526191.2</v>
      </c>
      <c r="I778" s="5">
        <f>IF(F778&lt;&gt;0, ((F778-G778)/F778)*100, 0)</f>
        <v>100</v>
      </c>
    </row>
    <row r="779" spans="1:9" customFormat="1" ht="14.5" x14ac:dyDescent="0.35">
      <c r="D779" s="10"/>
      <c r="F779" s="10"/>
      <c r="G779" s="10"/>
      <c r="H779" s="10"/>
      <c r="I779" s="10"/>
    </row>
    <row r="780" spans="1:9" x14ac:dyDescent="0.25">
      <c r="A780" s="2" t="s">
        <v>372</v>
      </c>
      <c r="B780" s="2" t="s">
        <v>373</v>
      </c>
      <c r="C780" s="2" t="s">
        <v>11</v>
      </c>
      <c r="E780" s="2" t="s">
        <v>11</v>
      </c>
      <c r="F780" s="6">
        <v>1638766.4</v>
      </c>
      <c r="H780" s="6">
        <f>F780-G780</f>
        <v>1638766.4</v>
      </c>
      <c r="I780" s="6">
        <f>IF(F780&lt;&gt;0, ((F780-G780)/F780)*100, 0)</f>
        <v>100</v>
      </c>
    </row>
    <row r="781" spans="1:9" x14ac:dyDescent="0.25">
      <c r="A781" s="2" t="s">
        <v>372</v>
      </c>
      <c r="B781" s="2" t="s">
        <v>373</v>
      </c>
      <c r="C781" s="2" t="s">
        <v>11</v>
      </c>
      <c r="E781" s="2" t="s">
        <v>11</v>
      </c>
      <c r="F781" s="6">
        <v>372534</v>
      </c>
      <c r="H781" s="6">
        <f>F781-G781</f>
        <v>372534</v>
      </c>
      <c r="I781" s="6">
        <f>IF(F781&lt;&gt;0, ((F781-G781)/F781)*100, 0)</f>
        <v>100</v>
      </c>
    </row>
    <row r="782" spans="1:9" customFormat="1" ht="14.5" x14ac:dyDescent="0.35">
      <c r="D782" s="10"/>
      <c r="F782" s="10"/>
      <c r="G782" s="10"/>
      <c r="H782" s="10"/>
      <c r="I782" s="10"/>
    </row>
    <row r="783" spans="1:9" s="4" customFormat="1" x14ac:dyDescent="0.25">
      <c r="A783" s="3" t="s">
        <v>11</v>
      </c>
      <c r="B783" s="3" t="s">
        <v>11</v>
      </c>
      <c r="C783" s="3" t="s">
        <v>11</v>
      </c>
      <c r="D783" s="5">
        <f>SUBTOTAL(9, D780:D782)</f>
        <v>0</v>
      </c>
      <c r="E783" s="3" t="s">
        <v>11</v>
      </c>
      <c r="F783" s="5">
        <f>SUBTOTAL(9, F780:F782)</f>
        <v>2011300.4</v>
      </c>
      <c r="G783" s="5">
        <f>SUBTOTAL(9, G780:G782)</f>
        <v>0</v>
      </c>
      <c r="H783" s="5">
        <f>SUBTOTAL(9, H780:H782)</f>
        <v>2011300.4</v>
      </c>
      <c r="I783" s="5">
        <f>IF(F783&lt;&gt;0, ((F783-G783)/F783)*100, 0)</f>
        <v>100</v>
      </c>
    </row>
    <row r="784" spans="1:9" customFormat="1" ht="14.5" x14ac:dyDescent="0.35">
      <c r="D784" s="10"/>
      <c r="F784" s="10"/>
      <c r="G784" s="10"/>
      <c r="H784" s="10"/>
      <c r="I784" s="10"/>
    </row>
    <row r="785" spans="1:9" x14ac:dyDescent="0.25">
      <c r="A785" s="2" t="s">
        <v>374</v>
      </c>
      <c r="B785" s="2" t="s">
        <v>375</v>
      </c>
      <c r="C785" s="2" t="s">
        <v>11</v>
      </c>
      <c r="E785" s="2" t="s">
        <v>11</v>
      </c>
      <c r="F785" s="6">
        <v>113180</v>
      </c>
      <c r="H785" s="6">
        <f>F785-G785</f>
        <v>113180</v>
      </c>
      <c r="I785" s="6">
        <f>IF(F785&lt;&gt;0, ((F785-G785)/F785)*100, 0)</f>
        <v>100</v>
      </c>
    </row>
    <row r="786" spans="1:9" x14ac:dyDescent="0.25">
      <c r="A786" s="2" t="s">
        <v>374</v>
      </c>
      <c r="B786" s="2" t="s">
        <v>375</v>
      </c>
      <c r="C786" s="2" t="s">
        <v>11</v>
      </c>
      <c r="E786" s="2" t="s">
        <v>11</v>
      </c>
      <c r="F786" s="6">
        <v>3849435.5</v>
      </c>
      <c r="H786" s="6">
        <f>F786-G786</f>
        <v>3849435.5</v>
      </c>
      <c r="I786" s="6">
        <f>IF(F786&lt;&gt;0, ((F786-G786)/F786)*100, 0)</f>
        <v>100</v>
      </c>
    </row>
    <row r="787" spans="1:9" x14ac:dyDescent="0.25">
      <c r="A787" s="2" t="s">
        <v>374</v>
      </c>
      <c r="B787" s="2" t="s">
        <v>375</v>
      </c>
      <c r="C787" s="2" t="s">
        <v>11</v>
      </c>
      <c r="E787" s="2" t="s">
        <v>11</v>
      </c>
      <c r="F787" s="6">
        <v>378569</v>
      </c>
      <c r="H787" s="6">
        <f>F787-G787</f>
        <v>378569</v>
      </c>
      <c r="I787" s="6">
        <f>IF(F787&lt;&gt;0, ((F787-G787)/F787)*100, 0)</f>
        <v>100</v>
      </c>
    </row>
    <row r="788" spans="1:9" x14ac:dyDescent="0.25">
      <c r="A788" s="2" t="s">
        <v>374</v>
      </c>
      <c r="B788" s="2" t="s">
        <v>375</v>
      </c>
      <c r="C788" s="2" t="s">
        <v>11</v>
      </c>
      <c r="E788" s="2" t="s">
        <v>11</v>
      </c>
      <c r="F788" s="6">
        <v>45500</v>
      </c>
      <c r="H788" s="6">
        <f>F788-G788</f>
        <v>45500</v>
      </c>
      <c r="I788" s="6">
        <f>IF(F788&lt;&gt;0, ((F788-G788)/F788)*100, 0)</f>
        <v>100</v>
      </c>
    </row>
    <row r="789" spans="1:9" customFormat="1" ht="14.5" x14ac:dyDescent="0.35">
      <c r="D789" s="10"/>
      <c r="F789" s="10"/>
      <c r="G789" s="10"/>
      <c r="H789" s="10"/>
      <c r="I789" s="10"/>
    </row>
    <row r="790" spans="1:9" s="4" customFormat="1" x14ac:dyDescent="0.25">
      <c r="A790" s="3" t="s">
        <v>11</v>
      </c>
      <c r="B790" s="3" t="s">
        <v>11</v>
      </c>
      <c r="C790" s="3" t="s">
        <v>11</v>
      </c>
      <c r="D790" s="5">
        <f>SUBTOTAL(9, D785:D789)</f>
        <v>0</v>
      </c>
      <c r="E790" s="3" t="s">
        <v>11</v>
      </c>
      <c r="F790" s="5">
        <f>SUBTOTAL(9, F785:F789)</f>
        <v>4386684.5</v>
      </c>
      <c r="G790" s="5">
        <f>SUBTOTAL(9, G785:G789)</f>
        <v>0</v>
      </c>
      <c r="H790" s="5">
        <f>SUBTOTAL(9, H785:H789)</f>
        <v>4386684.5</v>
      </c>
      <c r="I790" s="5">
        <f>IF(F790&lt;&gt;0, ((F790-G790)/F790)*100, 0)</f>
        <v>100</v>
      </c>
    </row>
    <row r="791" spans="1:9" customFormat="1" ht="14.5" x14ac:dyDescent="0.35">
      <c r="D791" s="10"/>
      <c r="F791" s="10"/>
      <c r="G791" s="10"/>
      <c r="H791" s="10"/>
      <c r="I791" s="10"/>
    </row>
    <row r="792" spans="1:9" x14ac:dyDescent="0.25">
      <c r="A792" s="2" t="s">
        <v>376</v>
      </c>
      <c r="B792" s="2" t="s">
        <v>377</v>
      </c>
      <c r="C792" s="2" t="s">
        <v>11</v>
      </c>
      <c r="E792" s="2" t="s">
        <v>11</v>
      </c>
      <c r="F792" s="6">
        <v>43082601.189999998</v>
      </c>
      <c r="H792" s="6">
        <f>F792-G792</f>
        <v>43082601.189999998</v>
      </c>
      <c r="I792" s="6">
        <f>IF(F792&lt;&gt;0, ((F792-G792)/F792)*100, 0)</f>
        <v>100</v>
      </c>
    </row>
    <row r="793" spans="1:9" x14ac:dyDescent="0.25">
      <c r="A793" s="2" t="s">
        <v>376</v>
      </c>
      <c r="B793" s="2" t="s">
        <v>377</v>
      </c>
      <c r="C793" s="2" t="s">
        <v>11</v>
      </c>
      <c r="E793" s="2" t="s">
        <v>11</v>
      </c>
      <c r="F793" s="6">
        <v>719065</v>
      </c>
      <c r="H793" s="6">
        <f>F793-G793</f>
        <v>719065</v>
      </c>
      <c r="I793" s="6">
        <f>IF(F793&lt;&gt;0, ((F793-G793)/F793)*100, 0)</f>
        <v>100</v>
      </c>
    </row>
    <row r="794" spans="1:9" x14ac:dyDescent="0.25">
      <c r="A794" s="2" t="s">
        <v>376</v>
      </c>
      <c r="B794" s="2" t="s">
        <v>377</v>
      </c>
      <c r="C794" s="2" t="s">
        <v>11</v>
      </c>
      <c r="E794" s="2" t="s">
        <v>11</v>
      </c>
      <c r="F794" s="6">
        <v>2113665</v>
      </c>
      <c r="H794" s="6">
        <f>F794-G794</f>
        <v>2113665</v>
      </c>
      <c r="I794" s="6">
        <f>IF(F794&lt;&gt;0, ((F794-G794)/F794)*100, 0)</f>
        <v>100</v>
      </c>
    </row>
    <row r="795" spans="1:9" x14ac:dyDescent="0.25">
      <c r="A795" s="2" t="s">
        <v>376</v>
      </c>
      <c r="B795" s="2" t="s">
        <v>377</v>
      </c>
      <c r="C795" s="2" t="s">
        <v>11</v>
      </c>
      <c r="E795" s="2" t="s">
        <v>11</v>
      </c>
      <c r="F795" s="6">
        <v>35500</v>
      </c>
      <c r="H795" s="6">
        <f>F795-G795</f>
        <v>35500</v>
      </c>
      <c r="I795" s="6">
        <f>IF(F795&lt;&gt;0, ((F795-G795)/F795)*100, 0)</f>
        <v>100</v>
      </c>
    </row>
    <row r="796" spans="1:9" x14ac:dyDescent="0.25">
      <c r="A796" s="2" t="s">
        <v>376</v>
      </c>
      <c r="B796" s="2" t="s">
        <v>377</v>
      </c>
      <c r="C796" s="2" t="s">
        <v>11</v>
      </c>
      <c r="E796" s="2" t="s">
        <v>11</v>
      </c>
      <c r="F796" s="6">
        <v>185276</v>
      </c>
      <c r="H796" s="6">
        <f>F796-G796</f>
        <v>185276</v>
      </c>
      <c r="I796" s="6">
        <f>IF(F796&lt;&gt;0, ((F796-G796)/F796)*100, 0)</f>
        <v>100</v>
      </c>
    </row>
    <row r="797" spans="1:9" customFormat="1" ht="14.5" x14ac:dyDescent="0.35">
      <c r="D797" s="10"/>
      <c r="F797" s="10"/>
      <c r="G797" s="10"/>
      <c r="H797" s="10"/>
      <c r="I797" s="10"/>
    </row>
    <row r="798" spans="1:9" s="4" customFormat="1" x14ac:dyDescent="0.25">
      <c r="A798" s="3" t="s">
        <v>11</v>
      </c>
      <c r="B798" s="3" t="s">
        <v>11</v>
      </c>
      <c r="C798" s="3" t="s">
        <v>11</v>
      </c>
      <c r="D798" s="5">
        <f>SUBTOTAL(9, D792:D797)</f>
        <v>0</v>
      </c>
      <c r="E798" s="3" t="s">
        <v>11</v>
      </c>
      <c r="F798" s="5">
        <f>SUBTOTAL(9, F792:F797)</f>
        <v>46136107.189999998</v>
      </c>
      <c r="G798" s="5">
        <f>SUBTOTAL(9, G792:G797)</f>
        <v>0</v>
      </c>
      <c r="H798" s="5">
        <f>SUBTOTAL(9, H792:H797)</f>
        <v>46136107.189999998</v>
      </c>
      <c r="I798" s="5">
        <f>IF(F798&lt;&gt;0, ((F798-G798)/F798)*100, 0)</f>
        <v>100</v>
      </c>
    </row>
    <row r="799" spans="1:9" customFormat="1" ht="14.5" x14ac:dyDescent="0.35">
      <c r="D799" s="10"/>
      <c r="F799" s="10"/>
      <c r="G799" s="10"/>
      <c r="H799" s="10"/>
      <c r="I799" s="10"/>
    </row>
    <row r="800" spans="1:9" x14ac:dyDescent="0.25">
      <c r="A800" s="2" t="s">
        <v>378</v>
      </c>
      <c r="B800" s="2" t="s">
        <v>379</v>
      </c>
      <c r="C800" s="2" t="s">
        <v>11</v>
      </c>
      <c r="E800" s="2" t="s">
        <v>11</v>
      </c>
      <c r="F800" s="6">
        <v>3094721</v>
      </c>
      <c r="H800" s="6">
        <f>F800-G800</f>
        <v>3094721</v>
      </c>
      <c r="I800" s="6">
        <f>IF(F800&lt;&gt;0, ((F800-G800)/F800)*100, 0)</f>
        <v>100</v>
      </c>
    </row>
    <row r="801" spans="1:9" x14ac:dyDescent="0.25">
      <c r="A801" s="2" t="s">
        <v>378</v>
      </c>
      <c r="B801" s="2" t="s">
        <v>379</v>
      </c>
      <c r="C801" s="2" t="s">
        <v>11</v>
      </c>
      <c r="E801" s="2" t="s">
        <v>11</v>
      </c>
      <c r="F801" s="6">
        <v>2500</v>
      </c>
      <c r="H801" s="6">
        <f>F801-G801</f>
        <v>2500</v>
      </c>
      <c r="I801" s="6">
        <f>IF(F801&lt;&gt;0, ((F801-G801)/F801)*100, 0)</f>
        <v>100</v>
      </c>
    </row>
    <row r="802" spans="1:9" customFormat="1" ht="14.5" x14ac:dyDescent="0.35">
      <c r="D802" s="10"/>
      <c r="F802" s="10"/>
      <c r="G802" s="10"/>
      <c r="H802" s="10"/>
      <c r="I802" s="10"/>
    </row>
    <row r="803" spans="1:9" s="4" customFormat="1" x14ac:dyDescent="0.25">
      <c r="A803" s="3" t="s">
        <v>11</v>
      </c>
      <c r="B803" s="3" t="s">
        <v>11</v>
      </c>
      <c r="C803" s="3" t="s">
        <v>11</v>
      </c>
      <c r="D803" s="5">
        <f>SUBTOTAL(9, D800:D802)</f>
        <v>0</v>
      </c>
      <c r="E803" s="3" t="s">
        <v>11</v>
      </c>
      <c r="F803" s="5">
        <f>SUBTOTAL(9, F800:F802)</f>
        <v>3097221</v>
      </c>
      <c r="G803" s="5">
        <f>SUBTOTAL(9, G800:G802)</f>
        <v>0</v>
      </c>
      <c r="H803" s="5">
        <f>SUBTOTAL(9, H800:H802)</f>
        <v>3097221</v>
      </c>
      <c r="I803" s="5">
        <f>IF(F803&lt;&gt;0, ((F803-G803)/F803)*100, 0)</f>
        <v>100</v>
      </c>
    </row>
    <row r="804" spans="1:9" customFormat="1" ht="14.5" x14ac:dyDescent="0.35">
      <c r="D804" s="10"/>
      <c r="F804" s="10"/>
      <c r="G804" s="10"/>
      <c r="H804" s="10"/>
      <c r="I804" s="10"/>
    </row>
    <row r="805" spans="1:9" x14ac:dyDescent="0.25">
      <c r="A805" s="2" t="s">
        <v>380</v>
      </c>
      <c r="B805" s="2" t="s">
        <v>381</v>
      </c>
      <c r="C805" s="2" t="s">
        <v>11</v>
      </c>
      <c r="E805" s="2" t="s">
        <v>11</v>
      </c>
      <c r="F805" s="6">
        <v>158150</v>
      </c>
      <c r="H805" s="6">
        <f>F805-G805</f>
        <v>158150</v>
      </c>
      <c r="I805" s="6">
        <f>IF(F805&lt;&gt;0, ((F805-G805)/F805)*100, 0)</f>
        <v>100</v>
      </c>
    </row>
    <row r="806" spans="1:9" x14ac:dyDescent="0.25">
      <c r="A806" s="2" t="s">
        <v>380</v>
      </c>
      <c r="B806" s="2" t="s">
        <v>381</v>
      </c>
      <c r="C806" s="2" t="s">
        <v>11</v>
      </c>
      <c r="E806" s="2" t="s">
        <v>11</v>
      </c>
      <c r="F806" s="6">
        <v>4850354</v>
      </c>
      <c r="H806" s="6">
        <f>F806-G806</f>
        <v>4850354</v>
      </c>
      <c r="I806" s="6">
        <f>IF(F806&lt;&gt;0, ((F806-G806)/F806)*100, 0)</f>
        <v>100</v>
      </c>
    </row>
    <row r="807" spans="1:9" x14ac:dyDescent="0.25">
      <c r="A807" s="2" t="s">
        <v>380</v>
      </c>
      <c r="B807" s="2" t="s">
        <v>381</v>
      </c>
      <c r="C807" s="2" t="s">
        <v>11</v>
      </c>
      <c r="E807" s="2" t="s">
        <v>11</v>
      </c>
      <c r="F807" s="6">
        <v>594329</v>
      </c>
      <c r="H807" s="6">
        <f>F807-G807</f>
        <v>594329</v>
      </c>
      <c r="I807" s="6">
        <f>IF(F807&lt;&gt;0, ((F807-G807)/F807)*100, 0)</f>
        <v>100</v>
      </c>
    </row>
    <row r="808" spans="1:9" customFormat="1" ht="14.5" x14ac:dyDescent="0.35">
      <c r="D808" s="10"/>
      <c r="F808" s="10"/>
      <c r="G808" s="10"/>
      <c r="H808" s="10"/>
      <c r="I808" s="10"/>
    </row>
    <row r="809" spans="1:9" s="4" customFormat="1" x14ac:dyDescent="0.25">
      <c r="A809" s="3" t="s">
        <v>11</v>
      </c>
      <c r="B809" s="3" t="s">
        <v>11</v>
      </c>
      <c r="C809" s="3" t="s">
        <v>11</v>
      </c>
      <c r="D809" s="5">
        <f>SUBTOTAL(9, D805:D808)</f>
        <v>0</v>
      </c>
      <c r="E809" s="3" t="s">
        <v>11</v>
      </c>
      <c r="F809" s="5">
        <f>SUBTOTAL(9, F805:F808)</f>
        <v>5602833</v>
      </c>
      <c r="G809" s="5">
        <f>SUBTOTAL(9, G805:G808)</f>
        <v>0</v>
      </c>
      <c r="H809" s="5">
        <f>SUBTOTAL(9, H805:H808)</f>
        <v>5602833</v>
      </c>
      <c r="I809" s="5">
        <f>IF(F809&lt;&gt;0, ((F809-G809)/F809)*100, 0)</f>
        <v>100</v>
      </c>
    </row>
    <row r="810" spans="1:9" customFormat="1" ht="14.5" x14ac:dyDescent="0.35">
      <c r="D810" s="10"/>
      <c r="F810" s="10"/>
      <c r="G810" s="10"/>
      <c r="H810" s="10"/>
      <c r="I810" s="10"/>
    </row>
    <row r="811" spans="1:9" x14ac:dyDescent="0.25">
      <c r="A811" s="2" t="s">
        <v>382</v>
      </c>
      <c r="B811" s="2" t="s">
        <v>383</v>
      </c>
      <c r="C811" s="2" t="s">
        <v>11</v>
      </c>
      <c r="E811" s="2" t="s">
        <v>11</v>
      </c>
      <c r="F811" s="6">
        <v>794731</v>
      </c>
      <c r="H811" s="6">
        <f>F811-G811</f>
        <v>794731</v>
      </c>
      <c r="I811" s="6">
        <f>IF(F811&lt;&gt;0, ((F811-G811)/F811)*100, 0)</f>
        <v>100</v>
      </c>
    </row>
    <row r="812" spans="1:9" customFormat="1" ht="14.5" x14ac:dyDescent="0.35">
      <c r="D812" s="10"/>
      <c r="F812" s="10"/>
      <c r="G812" s="10"/>
      <c r="H812" s="10"/>
      <c r="I812" s="10"/>
    </row>
    <row r="813" spans="1:9" s="4" customFormat="1" x14ac:dyDescent="0.25">
      <c r="A813" s="3" t="s">
        <v>11</v>
      </c>
      <c r="B813" s="3" t="s">
        <v>11</v>
      </c>
      <c r="C813" s="3" t="s">
        <v>11</v>
      </c>
      <c r="D813" s="5">
        <f>SUBTOTAL(9, D811:D812)</f>
        <v>0</v>
      </c>
      <c r="E813" s="3" t="s">
        <v>11</v>
      </c>
      <c r="F813" s="5">
        <f>SUBTOTAL(9, F811:F812)</f>
        <v>794731</v>
      </c>
      <c r="G813" s="5">
        <f>SUBTOTAL(9, G811:G812)</f>
        <v>0</v>
      </c>
      <c r="H813" s="5">
        <f>SUBTOTAL(9, H811:H812)</f>
        <v>794731</v>
      </c>
      <c r="I813" s="5">
        <f>IF(F813&lt;&gt;0, ((F813-G813)/F813)*100, 0)</f>
        <v>100</v>
      </c>
    </row>
    <row r="814" spans="1:9" customFormat="1" ht="14.5" x14ac:dyDescent="0.35">
      <c r="D814" s="10"/>
      <c r="F814" s="10"/>
      <c r="G814" s="10"/>
      <c r="H814" s="10"/>
      <c r="I814" s="10"/>
    </row>
    <row r="815" spans="1:9" x14ac:dyDescent="0.25">
      <c r="A815" s="2" t="s">
        <v>384</v>
      </c>
      <c r="B815" s="2" t="s">
        <v>385</v>
      </c>
      <c r="C815" s="2" t="s">
        <v>11</v>
      </c>
      <c r="E815" s="2" t="s">
        <v>11</v>
      </c>
      <c r="F815" s="6">
        <v>509810</v>
      </c>
      <c r="H815" s="6">
        <f>F815-G815</f>
        <v>509810</v>
      </c>
      <c r="I815" s="6">
        <f>IF(F815&lt;&gt;0, ((F815-G815)/F815)*100, 0)</f>
        <v>100</v>
      </c>
    </row>
    <row r="816" spans="1:9" customFormat="1" ht="14.5" x14ac:dyDescent="0.35">
      <c r="D816" s="10"/>
      <c r="F816" s="10"/>
      <c r="G816" s="10"/>
      <c r="H816" s="10"/>
      <c r="I816" s="10"/>
    </row>
    <row r="817" spans="1:9" s="4" customFormat="1" x14ac:dyDescent="0.25">
      <c r="A817" s="3" t="s">
        <v>11</v>
      </c>
      <c r="B817" s="3" t="s">
        <v>11</v>
      </c>
      <c r="C817" s="3" t="s">
        <v>11</v>
      </c>
      <c r="D817" s="5">
        <f>SUBTOTAL(9, D815:D816)</f>
        <v>0</v>
      </c>
      <c r="E817" s="3" t="s">
        <v>11</v>
      </c>
      <c r="F817" s="5">
        <f>SUBTOTAL(9, F815:F816)</f>
        <v>509810</v>
      </c>
      <c r="G817" s="5">
        <f>SUBTOTAL(9, G815:G816)</f>
        <v>0</v>
      </c>
      <c r="H817" s="5">
        <f>SUBTOTAL(9, H815:H816)</f>
        <v>509810</v>
      </c>
      <c r="I817" s="5">
        <f>IF(F817&lt;&gt;0, ((F817-G817)/F817)*100, 0)</f>
        <v>100</v>
      </c>
    </row>
    <row r="818" spans="1:9" customFormat="1" ht="14.5" x14ac:dyDescent="0.35">
      <c r="D818" s="10"/>
      <c r="F818" s="10"/>
      <c r="G818" s="10"/>
      <c r="H818" s="10"/>
      <c r="I818" s="10"/>
    </row>
    <row r="819" spans="1:9" x14ac:dyDescent="0.25">
      <c r="A819" s="2" t="s">
        <v>386</v>
      </c>
      <c r="B819" s="2" t="s">
        <v>387</v>
      </c>
      <c r="C819" s="2" t="s">
        <v>11</v>
      </c>
      <c r="E819" s="2" t="s">
        <v>11</v>
      </c>
      <c r="F819" s="6">
        <v>7752603.5</v>
      </c>
      <c r="H819" s="6">
        <f>F819-G819</f>
        <v>7752603.5</v>
      </c>
      <c r="I819" s="6">
        <f>IF(F819&lt;&gt;0, ((F819-G819)/F819)*100, 0)</f>
        <v>100</v>
      </c>
    </row>
    <row r="820" spans="1:9" x14ac:dyDescent="0.25">
      <c r="A820" s="2" t="s">
        <v>386</v>
      </c>
      <c r="B820" s="2" t="s">
        <v>387</v>
      </c>
      <c r="C820" s="2" t="s">
        <v>11</v>
      </c>
      <c r="E820" s="2" t="s">
        <v>11</v>
      </c>
      <c r="F820" s="6">
        <v>6451300.5</v>
      </c>
      <c r="H820" s="6">
        <f>F820-G820</f>
        <v>6451300.5</v>
      </c>
      <c r="I820" s="6">
        <f>IF(F820&lt;&gt;0, ((F820-G820)/F820)*100, 0)</f>
        <v>100</v>
      </c>
    </row>
    <row r="821" spans="1:9" customFormat="1" ht="14.5" x14ac:dyDescent="0.35">
      <c r="D821" s="10"/>
      <c r="F821" s="10"/>
      <c r="G821" s="10"/>
      <c r="H821" s="10"/>
      <c r="I821" s="10"/>
    </row>
    <row r="822" spans="1:9" s="4" customFormat="1" x14ac:dyDescent="0.25">
      <c r="A822" s="3" t="s">
        <v>11</v>
      </c>
      <c r="B822" s="3" t="s">
        <v>11</v>
      </c>
      <c r="C822" s="3" t="s">
        <v>11</v>
      </c>
      <c r="D822" s="5">
        <f>SUBTOTAL(9, D819:D821)</f>
        <v>0</v>
      </c>
      <c r="E822" s="3" t="s">
        <v>11</v>
      </c>
      <c r="F822" s="5">
        <f>SUBTOTAL(9, F819:F821)</f>
        <v>14203904</v>
      </c>
      <c r="G822" s="5">
        <f>SUBTOTAL(9, G819:G821)</f>
        <v>0</v>
      </c>
      <c r="H822" s="5">
        <f>SUBTOTAL(9, H819:H821)</f>
        <v>14203904</v>
      </c>
      <c r="I822" s="5">
        <f>IF(F822&lt;&gt;0, ((F822-G822)/F822)*100, 0)</f>
        <v>100</v>
      </c>
    </row>
    <row r="823" spans="1:9" customFormat="1" ht="14.5" x14ac:dyDescent="0.35">
      <c r="D823" s="10"/>
      <c r="F823" s="10"/>
      <c r="G823" s="10"/>
      <c r="H823" s="10"/>
      <c r="I823" s="10"/>
    </row>
    <row r="824" spans="1:9" x14ac:dyDescent="0.25">
      <c r="A824" s="2" t="s">
        <v>388</v>
      </c>
      <c r="B824" s="2" t="s">
        <v>389</v>
      </c>
      <c r="C824" s="2" t="s">
        <v>11</v>
      </c>
      <c r="E824" s="2" t="s">
        <v>11</v>
      </c>
      <c r="F824" s="6">
        <v>26758208.969999999</v>
      </c>
      <c r="H824" s="6">
        <f>F824-G824</f>
        <v>26758208.969999999</v>
      </c>
      <c r="I824" s="6">
        <f>IF(F824&lt;&gt;0, ((F824-G824)/F824)*100, 0)</f>
        <v>100</v>
      </c>
    </row>
    <row r="825" spans="1:9" x14ac:dyDescent="0.25">
      <c r="A825" s="2" t="s">
        <v>388</v>
      </c>
      <c r="B825" s="2" t="s">
        <v>389</v>
      </c>
      <c r="C825" s="2" t="s">
        <v>11</v>
      </c>
      <c r="E825" s="2" t="s">
        <v>11</v>
      </c>
      <c r="F825" s="6">
        <v>3590398</v>
      </c>
      <c r="H825" s="6">
        <f>F825-G825</f>
        <v>3590398</v>
      </c>
      <c r="I825" s="6">
        <f>IF(F825&lt;&gt;0, ((F825-G825)/F825)*100, 0)</f>
        <v>100</v>
      </c>
    </row>
    <row r="826" spans="1:9" x14ac:dyDescent="0.25">
      <c r="A826" s="2" t="s">
        <v>388</v>
      </c>
      <c r="B826" s="2" t="s">
        <v>389</v>
      </c>
      <c r="C826" s="2" t="s">
        <v>11</v>
      </c>
      <c r="E826" s="2" t="s">
        <v>11</v>
      </c>
      <c r="F826" s="6">
        <v>20441</v>
      </c>
      <c r="H826" s="6">
        <f>F826-G826</f>
        <v>20441</v>
      </c>
      <c r="I826" s="6">
        <f>IF(F826&lt;&gt;0, ((F826-G826)/F826)*100, 0)</f>
        <v>100</v>
      </c>
    </row>
    <row r="827" spans="1:9" x14ac:dyDescent="0.25">
      <c r="A827" s="2" t="s">
        <v>388</v>
      </c>
      <c r="B827" s="2" t="s">
        <v>389</v>
      </c>
      <c r="C827" s="2" t="s">
        <v>11</v>
      </c>
      <c r="E827" s="2" t="s">
        <v>11</v>
      </c>
      <c r="F827" s="6">
        <v>43234</v>
      </c>
      <c r="H827" s="6">
        <f>F827-G827</f>
        <v>43234</v>
      </c>
      <c r="I827" s="6">
        <f>IF(F827&lt;&gt;0, ((F827-G827)/F827)*100, 0)</f>
        <v>100</v>
      </c>
    </row>
    <row r="828" spans="1:9" customFormat="1" ht="14.5" x14ac:dyDescent="0.35">
      <c r="D828" s="10"/>
      <c r="F828" s="10"/>
      <c r="G828" s="10"/>
      <c r="H828" s="10"/>
      <c r="I828" s="10"/>
    </row>
    <row r="829" spans="1:9" s="4" customFormat="1" x14ac:dyDescent="0.25">
      <c r="A829" s="3" t="s">
        <v>11</v>
      </c>
      <c r="B829" s="3" t="s">
        <v>11</v>
      </c>
      <c r="C829" s="3" t="s">
        <v>11</v>
      </c>
      <c r="D829" s="5">
        <f>SUBTOTAL(9, D824:D828)</f>
        <v>0</v>
      </c>
      <c r="E829" s="3" t="s">
        <v>11</v>
      </c>
      <c r="F829" s="5">
        <f>SUBTOTAL(9, F824:F828)</f>
        <v>30412281.969999999</v>
      </c>
      <c r="G829" s="5">
        <f>SUBTOTAL(9, G824:G828)</f>
        <v>0</v>
      </c>
      <c r="H829" s="5">
        <f>SUBTOTAL(9, H824:H828)</f>
        <v>30412281.969999999</v>
      </c>
      <c r="I829" s="5">
        <f>IF(F829&lt;&gt;0, ((F829-G829)/F829)*100, 0)</f>
        <v>100</v>
      </c>
    </row>
    <row r="830" spans="1:9" customFormat="1" ht="14.5" x14ac:dyDescent="0.35">
      <c r="D830" s="10"/>
      <c r="F830" s="10"/>
      <c r="G830" s="10"/>
      <c r="H830" s="10"/>
      <c r="I830" s="10"/>
    </row>
    <row r="831" spans="1:9" x14ac:dyDescent="0.25">
      <c r="A831" s="2" t="s">
        <v>390</v>
      </c>
      <c r="B831" s="2" t="s">
        <v>391</v>
      </c>
      <c r="C831" s="2" t="s">
        <v>11</v>
      </c>
      <c r="E831" s="2" t="s">
        <v>11</v>
      </c>
      <c r="F831" s="6">
        <v>20622754.420000002</v>
      </c>
      <c r="H831" s="6">
        <f>F831-G831</f>
        <v>20622754.420000002</v>
      </c>
      <c r="I831" s="6">
        <f>IF(F831&lt;&gt;0, ((F831-G831)/F831)*100, 0)</f>
        <v>100</v>
      </c>
    </row>
    <row r="832" spans="1:9" x14ac:dyDescent="0.25">
      <c r="A832" s="2" t="s">
        <v>390</v>
      </c>
      <c r="B832" s="2" t="s">
        <v>391</v>
      </c>
      <c r="C832" s="2" t="s">
        <v>11</v>
      </c>
      <c r="E832" s="2" t="s">
        <v>11</v>
      </c>
      <c r="F832" s="6">
        <v>7607095</v>
      </c>
      <c r="H832" s="6">
        <f>F832-G832</f>
        <v>7607095</v>
      </c>
      <c r="I832" s="6">
        <f>IF(F832&lt;&gt;0, ((F832-G832)/F832)*100, 0)</f>
        <v>100</v>
      </c>
    </row>
    <row r="833" spans="1:9" x14ac:dyDescent="0.25">
      <c r="A833" s="2" t="s">
        <v>390</v>
      </c>
      <c r="B833" s="2" t="s">
        <v>391</v>
      </c>
      <c r="C833" s="2" t="s">
        <v>11</v>
      </c>
      <c r="E833" s="2" t="s">
        <v>11</v>
      </c>
      <c r="F833" s="6">
        <v>13500</v>
      </c>
      <c r="H833" s="6">
        <f>F833-G833</f>
        <v>13500</v>
      </c>
      <c r="I833" s="6">
        <f>IF(F833&lt;&gt;0, ((F833-G833)/F833)*100, 0)</f>
        <v>100</v>
      </c>
    </row>
    <row r="834" spans="1:9" x14ac:dyDescent="0.25">
      <c r="A834" s="2" t="s">
        <v>390</v>
      </c>
      <c r="B834" s="2" t="s">
        <v>391</v>
      </c>
      <c r="C834" s="2" t="s">
        <v>11</v>
      </c>
      <c r="E834" s="2" t="s">
        <v>11</v>
      </c>
      <c r="F834" s="6">
        <v>500650</v>
      </c>
      <c r="H834" s="6">
        <f>F834-G834</f>
        <v>500650</v>
      </c>
      <c r="I834" s="6">
        <f>IF(F834&lt;&gt;0, ((F834-G834)/F834)*100, 0)</f>
        <v>100</v>
      </c>
    </row>
    <row r="835" spans="1:9" x14ac:dyDescent="0.25">
      <c r="A835" s="2" t="s">
        <v>390</v>
      </c>
      <c r="B835" s="2" t="s">
        <v>391</v>
      </c>
      <c r="C835" s="2" t="s">
        <v>11</v>
      </c>
      <c r="E835" s="2" t="s">
        <v>11</v>
      </c>
      <c r="F835" s="6">
        <v>32269386.98</v>
      </c>
      <c r="H835" s="6">
        <f>F835-G835</f>
        <v>32269386.98</v>
      </c>
      <c r="I835" s="6">
        <f>IF(F835&lt;&gt;0, ((F835-G835)/F835)*100, 0)</f>
        <v>100</v>
      </c>
    </row>
    <row r="836" spans="1:9" x14ac:dyDescent="0.25">
      <c r="A836" s="2" t="s">
        <v>390</v>
      </c>
      <c r="B836" s="2" t="s">
        <v>391</v>
      </c>
      <c r="C836" s="2" t="s">
        <v>11</v>
      </c>
      <c r="E836" s="2" t="s">
        <v>11</v>
      </c>
      <c r="F836" s="6">
        <v>249350</v>
      </c>
      <c r="H836" s="6">
        <f>F836-G836</f>
        <v>249350</v>
      </c>
      <c r="I836" s="6">
        <f>IF(F836&lt;&gt;0, ((F836-G836)/F836)*100, 0)</f>
        <v>100</v>
      </c>
    </row>
    <row r="837" spans="1:9" x14ac:dyDescent="0.25">
      <c r="A837" s="2" t="s">
        <v>390</v>
      </c>
      <c r="B837" s="2" t="s">
        <v>391</v>
      </c>
      <c r="C837" s="2" t="s">
        <v>11</v>
      </c>
      <c r="E837" s="2" t="s">
        <v>11</v>
      </c>
      <c r="F837" s="6">
        <v>955450</v>
      </c>
      <c r="H837" s="6">
        <f>F837-G837</f>
        <v>955450</v>
      </c>
      <c r="I837" s="6">
        <f>IF(F837&lt;&gt;0, ((F837-G837)/F837)*100, 0)</f>
        <v>100</v>
      </c>
    </row>
    <row r="838" spans="1:9" x14ac:dyDescent="0.25">
      <c r="A838" s="2" t="s">
        <v>390</v>
      </c>
      <c r="B838" s="2" t="s">
        <v>391</v>
      </c>
      <c r="C838" s="2" t="s">
        <v>11</v>
      </c>
      <c r="E838" s="2" t="s">
        <v>11</v>
      </c>
      <c r="F838" s="6">
        <v>249050</v>
      </c>
      <c r="H838" s="6">
        <f>F838-G838</f>
        <v>249050</v>
      </c>
      <c r="I838" s="6">
        <f>IF(F838&lt;&gt;0, ((F838-G838)/F838)*100, 0)</f>
        <v>100</v>
      </c>
    </row>
    <row r="839" spans="1:9" customFormat="1" ht="14.5" x14ac:dyDescent="0.35">
      <c r="D839" s="10"/>
      <c r="F839" s="10"/>
      <c r="G839" s="10"/>
      <c r="H839" s="10"/>
      <c r="I839" s="10"/>
    </row>
    <row r="840" spans="1:9" s="4" customFormat="1" x14ac:dyDescent="0.25">
      <c r="A840" s="3" t="s">
        <v>11</v>
      </c>
      <c r="B840" s="3" t="s">
        <v>11</v>
      </c>
      <c r="C840" s="3" t="s">
        <v>11</v>
      </c>
      <c r="D840" s="5">
        <f>SUBTOTAL(9, D831:D839)</f>
        <v>0</v>
      </c>
      <c r="E840" s="3" t="s">
        <v>11</v>
      </c>
      <c r="F840" s="5">
        <f>SUBTOTAL(9, F831:F839)</f>
        <v>62467236.400000006</v>
      </c>
      <c r="G840" s="5">
        <f>SUBTOTAL(9, G831:G839)</f>
        <v>0</v>
      </c>
      <c r="H840" s="5">
        <f>SUBTOTAL(9, H831:H839)</f>
        <v>62467236.400000006</v>
      </c>
      <c r="I840" s="5">
        <f>IF(F840&lt;&gt;0, ((F840-G840)/F840)*100, 0)</f>
        <v>100</v>
      </c>
    </row>
    <row r="841" spans="1:9" customFormat="1" ht="14.5" x14ac:dyDescent="0.35">
      <c r="D841" s="10"/>
      <c r="F841" s="10"/>
      <c r="G841" s="10"/>
      <c r="H841" s="10"/>
      <c r="I841" s="10"/>
    </row>
    <row r="842" spans="1:9" x14ac:dyDescent="0.25">
      <c r="A842" s="2" t="s">
        <v>392</v>
      </c>
      <c r="B842" s="2" t="s">
        <v>393</v>
      </c>
      <c r="C842" s="2" t="s">
        <v>11</v>
      </c>
      <c r="E842" s="2" t="s">
        <v>11</v>
      </c>
      <c r="F842" s="6">
        <v>127400</v>
      </c>
      <c r="H842" s="6">
        <f>F842-G842</f>
        <v>127400</v>
      </c>
      <c r="I842" s="6">
        <f>IF(F842&lt;&gt;0, ((F842-G842)/F842)*100, 0)</f>
        <v>100</v>
      </c>
    </row>
    <row r="843" spans="1:9" x14ac:dyDescent="0.25">
      <c r="A843" s="2" t="s">
        <v>392</v>
      </c>
      <c r="B843" s="2" t="s">
        <v>393</v>
      </c>
      <c r="C843" s="2" t="s">
        <v>11</v>
      </c>
      <c r="E843" s="2" t="s">
        <v>11</v>
      </c>
      <c r="F843" s="6">
        <v>11554433.5</v>
      </c>
      <c r="H843" s="6">
        <f>F843-G843</f>
        <v>11554433.5</v>
      </c>
      <c r="I843" s="6">
        <f>IF(F843&lt;&gt;0, ((F843-G843)/F843)*100, 0)</f>
        <v>100</v>
      </c>
    </row>
    <row r="844" spans="1:9" x14ac:dyDescent="0.25">
      <c r="A844" s="2" t="s">
        <v>392</v>
      </c>
      <c r="B844" s="2" t="s">
        <v>393</v>
      </c>
      <c r="C844" s="2" t="s">
        <v>11</v>
      </c>
      <c r="E844" s="2" t="s">
        <v>11</v>
      </c>
      <c r="F844" s="6">
        <v>70850</v>
      </c>
      <c r="H844" s="6">
        <f>F844-G844</f>
        <v>70850</v>
      </c>
      <c r="I844" s="6">
        <f>IF(F844&lt;&gt;0, ((F844-G844)/F844)*100, 0)</f>
        <v>100</v>
      </c>
    </row>
    <row r="845" spans="1:9" x14ac:dyDescent="0.25">
      <c r="A845" s="2" t="s">
        <v>392</v>
      </c>
      <c r="B845" s="2" t="s">
        <v>393</v>
      </c>
      <c r="C845" s="2" t="s">
        <v>11</v>
      </c>
      <c r="E845" s="2" t="s">
        <v>11</v>
      </c>
      <c r="F845" s="6">
        <v>5568550</v>
      </c>
      <c r="H845" s="6">
        <f>F845-G845</f>
        <v>5568550</v>
      </c>
      <c r="I845" s="6">
        <f>IF(F845&lt;&gt;0, ((F845-G845)/F845)*100, 0)</f>
        <v>100</v>
      </c>
    </row>
    <row r="846" spans="1:9" x14ac:dyDescent="0.25">
      <c r="A846" s="2" t="s">
        <v>392</v>
      </c>
      <c r="B846" s="2" t="s">
        <v>393</v>
      </c>
      <c r="C846" s="2" t="s">
        <v>11</v>
      </c>
      <c r="E846" s="2" t="s">
        <v>11</v>
      </c>
      <c r="F846" s="6">
        <v>110500</v>
      </c>
      <c r="H846" s="6">
        <f>F846-G846</f>
        <v>110500</v>
      </c>
      <c r="I846" s="6">
        <f>IF(F846&lt;&gt;0, ((F846-G846)/F846)*100, 0)</f>
        <v>100</v>
      </c>
    </row>
    <row r="847" spans="1:9" x14ac:dyDescent="0.25">
      <c r="A847" s="2" t="s">
        <v>392</v>
      </c>
      <c r="B847" s="2" t="s">
        <v>393</v>
      </c>
      <c r="C847" s="2" t="s">
        <v>11</v>
      </c>
      <c r="E847" s="2" t="s">
        <v>11</v>
      </c>
      <c r="F847" s="6">
        <v>102700</v>
      </c>
      <c r="H847" s="6">
        <f>F847-G847</f>
        <v>102700</v>
      </c>
      <c r="I847" s="6">
        <f>IF(F847&lt;&gt;0, ((F847-G847)/F847)*100, 0)</f>
        <v>100</v>
      </c>
    </row>
    <row r="848" spans="1:9" x14ac:dyDescent="0.25">
      <c r="A848" s="2" t="s">
        <v>392</v>
      </c>
      <c r="B848" s="2" t="s">
        <v>393</v>
      </c>
      <c r="C848" s="2" t="s">
        <v>11</v>
      </c>
      <c r="E848" s="2" t="s">
        <v>11</v>
      </c>
      <c r="F848" s="6">
        <v>36995583.899999999</v>
      </c>
      <c r="H848" s="6">
        <f>F848-G848</f>
        <v>36995583.899999999</v>
      </c>
      <c r="I848" s="6">
        <f>IF(F848&lt;&gt;0, ((F848-G848)/F848)*100, 0)</f>
        <v>100</v>
      </c>
    </row>
    <row r="849" spans="1:9" x14ac:dyDescent="0.25">
      <c r="A849" s="2" t="s">
        <v>392</v>
      </c>
      <c r="B849" s="2" t="s">
        <v>393</v>
      </c>
      <c r="C849" s="2" t="s">
        <v>11</v>
      </c>
      <c r="E849" s="2" t="s">
        <v>11</v>
      </c>
      <c r="F849" s="6">
        <v>872790</v>
      </c>
      <c r="H849" s="6">
        <f>F849-G849</f>
        <v>872790</v>
      </c>
      <c r="I849" s="6">
        <f>IF(F849&lt;&gt;0, ((F849-G849)/F849)*100, 0)</f>
        <v>100</v>
      </c>
    </row>
    <row r="850" spans="1:9" x14ac:dyDescent="0.25">
      <c r="A850" s="2" t="s">
        <v>392</v>
      </c>
      <c r="B850" s="2" t="s">
        <v>393</v>
      </c>
      <c r="C850" s="2" t="s">
        <v>11</v>
      </c>
      <c r="E850" s="2" t="s">
        <v>11</v>
      </c>
      <c r="F850" s="6">
        <v>637540</v>
      </c>
      <c r="H850" s="6">
        <f>F850-G850</f>
        <v>637540</v>
      </c>
      <c r="I850" s="6">
        <f>IF(F850&lt;&gt;0, ((F850-G850)/F850)*100, 0)</f>
        <v>100</v>
      </c>
    </row>
    <row r="851" spans="1:9" x14ac:dyDescent="0.25">
      <c r="A851" s="2" t="s">
        <v>392</v>
      </c>
      <c r="B851" s="2" t="s">
        <v>393</v>
      </c>
      <c r="C851" s="2" t="s">
        <v>11</v>
      </c>
      <c r="E851" s="2" t="s">
        <v>11</v>
      </c>
      <c r="F851" s="6">
        <v>462150</v>
      </c>
      <c r="H851" s="6">
        <f>F851-G851</f>
        <v>462150</v>
      </c>
      <c r="I851" s="6">
        <f>IF(F851&lt;&gt;0, ((F851-G851)/F851)*100, 0)</f>
        <v>100</v>
      </c>
    </row>
    <row r="852" spans="1:9" x14ac:dyDescent="0.25">
      <c r="A852" s="2" t="s">
        <v>392</v>
      </c>
      <c r="B852" s="2" t="s">
        <v>393</v>
      </c>
      <c r="C852" s="2" t="s">
        <v>11</v>
      </c>
      <c r="E852" s="2" t="s">
        <v>11</v>
      </c>
      <c r="F852" s="6">
        <v>1862255</v>
      </c>
      <c r="H852" s="6">
        <f>F852-G852</f>
        <v>1862255</v>
      </c>
      <c r="I852" s="6">
        <f>IF(F852&lt;&gt;0, ((F852-G852)/F852)*100, 0)</f>
        <v>100</v>
      </c>
    </row>
    <row r="853" spans="1:9" x14ac:dyDescent="0.25">
      <c r="A853" s="2" t="s">
        <v>392</v>
      </c>
      <c r="B853" s="2" t="s">
        <v>393</v>
      </c>
      <c r="C853" s="2" t="s">
        <v>11</v>
      </c>
      <c r="E853" s="2" t="s">
        <v>11</v>
      </c>
      <c r="F853" s="6">
        <v>243558</v>
      </c>
      <c r="H853" s="6">
        <f>F853-G853</f>
        <v>243558</v>
      </c>
      <c r="I853" s="6">
        <f>IF(F853&lt;&gt;0, ((F853-G853)/F853)*100, 0)</f>
        <v>100</v>
      </c>
    </row>
    <row r="854" spans="1:9" x14ac:dyDescent="0.25">
      <c r="A854" s="2" t="s">
        <v>392</v>
      </c>
      <c r="B854" s="2" t="s">
        <v>393</v>
      </c>
      <c r="C854" s="2" t="s">
        <v>11</v>
      </c>
      <c r="E854" s="2" t="s">
        <v>11</v>
      </c>
      <c r="F854" s="6">
        <v>97500</v>
      </c>
      <c r="H854" s="6">
        <f>F854-G854</f>
        <v>97500</v>
      </c>
      <c r="I854" s="6">
        <f>IF(F854&lt;&gt;0, ((F854-G854)/F854)*100, 0)</f>
        <v>100</v>
      </c>
    </row>
    <row r="855" spans="1:9" customFormat="1" ht="14.5" x14ac:dyDescent="0.35">
      <c r="D855" s="10"/>
      <c r="F855" s="10"/>
      <c r="G855" s="10"/>
      <c r="H855" s="10"/>
      <c r="I855" s="10"/>
    </row>
    <row r="856" spans="1:9" s="4" customFormat="1" x14ac:dyDescent="0.25">
      <c r="A856" s="3" t="s">
        <v>11</v>
      </c>
      <c r="B856" s="3" t="s">
        <v>11</v>
      </c>
      <c r="C856" s="3" t="s">
        <v>11</v>
      </c>
      <c r="D856" s="5">
        <f>SUBTOTAL(9, D842:D855)</f>
        <v>0</v>
      </c>
      <c r="E856" s="3" t="s">
        <v>11</v>
      </c>
      <c r="F856" s="5">
        <f>SUBTOTAL(9, F842:F855)</f>
        <v>58705810.399999999</v>
      </c>
      <c r="G856" s="5">
        <f>SUBTOTAL(9, G842:G855)</f>
        <v>0</v>
      </c>
      <c r="H856" s="5">
        <f>SUBTOTAL(9, H842:H855)</f>
        <v>58705810.399999999</v>
      </c>
      <c r="I856" s="5">
        <f>IF(F856&lt;&gt;0, ((F856-G856)/F856)*100, 0)</f>
        <v>100</v>
      </c>
    </row>
    <row r="857" spans="1:9" customFormat="1" ht="14.5" x14ac:dyDescent="0.35">
      <c r="D857" s="10"/>
      <c r="F857" s="10"/>
      <c r="G857" s="10"/>
      <c r="H857" s="10"/>
      <c r="I857" s="10"/>
    </row>
    <row r="858" spans="1:9" x14ac:dyDescent="0.25">
      <c r="A858" s="2" t="s">
        <v>394</v>
      </c>
      <c r="B858" s="2" t="s">
        <v>395</v>
      </c>
      <c r="C858" s="2" t="s">
        <v>11</v>
      </c>
      <c r="E858" s="2" t="s">
        <v>11</v>
      </c>
      <c r="F858" s="6">
        <v>1846581.26</v>
      </c>
      <c r="H858" s="6">
        <f>F858-G858</f>
        <v>1846581.26</v>
      </c>
      <c r="I858" s="6">
        <f>IF(F858&lt;&gt;0, ((F858-G858)/F858)*100, 0)</f>
        <v>100</v>
      </c>
    </row>
    <row r="859" spans="1:9" customFormat="1" ht="14.5" x14ac:dyDescent="0.35">
      <c r="D859" s="10"/>
      <c r="F859" s="10"/>
      <c r="G859" s="10"/>
      <c r="H859" s="10"/>
      <c r="I859" s="10"/>
    </row>
    <row r="860" spans="1:9" s="4" customFormat="1" x14ac:dyDescent="0.25">
      <c r="A860" s="3" t="s">
        <v>11</v>
      </c>
      <c r="B860" s="3" t="s">
        <v>11</v>
      </c>
      <c r="C860" s="3" t="s">
        <v>11</v>
      </c>
      <c r="D860" s="5">
        <f>SUBTOTAL(9, D858:D859)</f>
        <v>0</v>
      </c>
      <c r="E860" s="3" t="s">
        <v>11</v>
      </c>
      <c r="F860" s="5">
        <f>SUBTOTAL(9, F858:F859)</f>
        <v>1846581.26</v>
      </c>
      <c r="G860" s="5">
        <f>SUBTOTAL(9, G858:G859)</f>
        <v>0</v>
      </c>
      <c r="H860" s="5">
        <f>SUBTOTAL(9, H858:H859)</f>
        <v>1846581.26</v>
      </c>
      <c r="I860" s="5">
        <f>IF(F860&lt;&gt;0, ((F860-G860)/F860)*100, 0)</f>
        <v>100</v>
      </c>
    </row>
    <row r="861" spans="1:9" customFormat="1" ht="14.5" x14ac:dyDescent="0.35">
      <c r="D861" s="10"/>
      <c r="F861" s="10"/>
      <c r="G861" s="10"/>
      <c r="H861" s="10"/>
      <c r="I861" s="10"/>
    </row>
    <row r="862" spans="1:9" x14ac:dyDescent="0.25">
      <c r="A862" s="2" t="s">
        <v>396</v>
      </c>
      <c r="B862" s="2" t="s">
        <v>397</v>
      </c>
      <c r="C862" s="2" t="s">
        <v>11</v>
      </c>
      <c r="E862" s="2" t="s">
        <v>11</v>
      </c>
      <c r="F862" s="6">
        <v>8083421.0300000003</v>
      </c>
      <c r="H862" s="6">
        <f>F862-G862</f>
        <v>8083421.0300000003</v>
      </c>
      <c r="I862" s="6">
        <f>IF(F862&lt;&gt;0, ((F862-G862)/F862)*100, 0)</f>
        <v>100</v>
      </c>
    </row>
    <row r="863" spans="1:9" x14ac:dyDescent="0.25">
      <c r="A863" s="2" t="s">
        <v>396</v>
      </c>
      <c r="B863" s="2" t="s">
        <v>397</v>
      </c>
      <c r="C863" s="2" t="s">
        <v>11</v>
      </c>
      <c r="E863" s="2" t="s">
        <v>11</v>
      </c>
      <c r="F863" s="6">
        <v>122471</v>
      </c>
      <c r="H863" s="6">
        <f>F863-G863</f>
        <v>122471</v>
      </c>
      <c r="I863" s="6">
        <f>IF(F863&lt;&gt;0, ((F863-G863)/F863)*100, 0)</f>
        <v>100</v>
      </c>
    </row>
    <row r="864" spans="1:9" x14ac:dyDescent="0.25">
      <c r="A864" s="2" t="s">
        <v>396</v>
      </c>
      <c r="B864" s="2" t="s">
        <v>397</v>
      </c>
      <c r="C864" s="2" t="s">
        <v>11</v>
      </c>
      <c r="E864" s="2" t="s">
        <v>11</v>
      </c>
      <c r="F864" s="6">
        <v>12895</v>
      </c>
      <c r="H864" s="6">
        <f>F864-G864</f>
        <v>12895</v>
      </c>
      <c r="I864" s="6">
        <f>IF(F864&lt;&gt;0, ((F864-G864)/F864)*100, 0)</f>
        <v>100</v>
      </c>
    </row>
    <row r="865" spans="1:9" customFormat="1" ht="14.5" x14ac:dyDescent="0.35">
      <c r="D865" s="10"/>
      <c r="F865" s="10"/>
      <c r="G865" s="10"/>
      <c r="H865" s="10"/>
      <c r="I865" s="10"/>
    </row>
    <row r="866" spans="1:9" s="4" customFormat="1" x14ac:dyDescent="0.25">
      <c r="A866" s="3" t="s">
        <v>11</v>
      </c>
      <c r="B866" s="3" t="s">
        <v>11</v>
      </c>
      <c r="C866" s="3" t="s">
        <v>11</v>
      </c>
      <c r="D866" s="5">
        <f>SUBTOTAL(9, D862:D865)</f>
        <v>0</v>
      </c>
      <c r="E866" s="3" t="s">
        <v>11</v>
      </c>
      <c r="F866" s="5">
        <f>SUBTOTAL(9, F862:F865)</f>
        <v>8218787.0300000003</v>
      </c>
      <c r="G866" s="5">
        <f>SUBTOTAL(9, G862:G865)</f>
        <v>0</v>
      </c>
      <c r="H866" s="5">
        <f>SUBTOTAL(9, H862:H865)</f>
        <v>8218787.0300000003</v>
      </c>
      <c r="I866" s="5">
        <f>IF(F866&lt;&gt;0, ((F866-G866)/F866)*100, 0)</f>
        <v>100</v>
      </c>
    </row>
    <row r="867" spans="1:9" customFormat="1" ht="14.5" x14ac:dyDescent="0.35">
      <c r="D867" s="10"/>
      <c r="F867" s="10"/>
      <c r="G867" s="10"/>
      <c r="H867" s="10"/>
      <c r="I867" s="10"/>
    </row>
    <row r="868" spans="1:9" x14ac:dyDescent="0.25">
      <c r="A868" s="2" t="s">
        <v>398</v>
      </c>
      <c r="B868" s="2" t="s">
        <v>399</v>
      </c>
      <c r="C868" s="2" t="s">
        <v>11</v>
      </c>
      <c r="E868" s="2" t="s">
        <v>11</v>
      </c>
      <c r="F868" s="6">
        <v>2549482.4500000002</v>
      </c>
      <c r="H868" s="6">
        <f>F868-G868</f>
        <v>2549482.4500000002</v>
      </c>
      <c r="I868" s="6">
        <f>IF(F868&lt;&gt;0, ((F868-G868)/F868)*100, 0)</f>
        <v>100</v>
      </c>
    </row>
    <row r="869" spans="1:9" x14ac:dyDescent="0.25">
      <c r="A869" s="2" t="s">
        <v>398</v>
      </c>
      <c r="B869" s="2" t="s">
        <v>399</v>
      </c>
      <c r="C869" s="2" t="s">
        <v>11</v>
      </c>
      <c r="E869" s="2" t="s">
        <v>11</v>
      </c>
      <c r="F869" s="6">
        <v>245468.2</v>
      </c>
      <c r="H869" s="6">
        <f>F869-G869</f>
        <v>245468.2</v>
      </c>
      <c r="I869" s="6">
        <f>IF(F869&lt;&gt;0, ((F869-G869)/F869)*100, 0)</f>
        <v>100</v>
      </c>
    </row>
    <row r="870" spans="1:9" x14ac:dyDescent="0.25">
      <c r="A870" s="2" t="s">
        <v>398</v>
      </c>
      <c r="B870" s="2" t="s">
        <v>399</v>
      </c>
      <c r="C870" s="2" t="s">
        <v>11</v>
      </c>
      <c r="E870" s="2" t="s">
        <v>11</v>
      </c>
      <c r="F870" s="6">
        <v>713253.9</v>
      </c>
      <c r="H870" s="6">
        <f>F870-G870</f>
        <v>713253.9</v>
      </c>
      <c r="I870" s="6">
        <f>IF(F870&lt;&gt;0, ((F870-G870)/F870)*100, 0)</f>
        <v>100</v>
      </c>
    </row>
    <row r="871" spans="1:9" x14ac:dyDescent="0.25">
      <c r="A871" s="2" t="s">
        <v>398</v>
      </c>
      <c r="B871" s="2" t="s">
        <v>399</v>
      </c>
      <c r="C871" s="2" t="s">
        <v>11</v>
      </c>
      <c r="E871" s="2" t="s">
        <v>11</v>
      </c>
      <c r="F871" s="6">
        <v>8910</v>
      </c>
      <c r="H871" s="6">
        <f>F871-G871</f>
        <v>8910</v>
      </c>
      <c r="I871" s="6">
        <f>IF(F871&lt;&gt;0, ((F871-G871)/F871)*100, 0)</f>
        <v>100</v>
      </c>
    </row>
    <row r="872" spans="1:9" x14ac:dyDescent="0.25">
      <c r="A872" s="2" t="s">
        <v>398</v>
      </c>
      <c r="B872" s="2" t="s">
        <v>399</v>
      </c>
      <c r="C872" s="2" t="s">
        <v>11</v>
      </c>
      <c r="E872" s="2" t="s">
        <v>11</v>
      </c>
      <c r="F872" s="6">
        <v>9135</v>
      </c>
      <c r="H872" s="6">
        <f>F872-G872</f>
        <v>9135</v>
      </c>
      <c r="I872" s="6">
        <f>IF(F872&lt;&gt;0, ((F872-G872)/F872)*100, 0)</f>
        <v>100</v>
      </c>
    </row>
    <row r="873" spans="1:9" customFormat="1" ht="14.5" x14ac:dyDescent="0.35">
      <c r="D873" s="10"/>
      <c r="F873" s="10"/>
      <c r="G873" s="10"/>
      <c r="H873" s="10"/>
      <c r="I873" s="10"/>
    </row>
    <row r="874" spans="1:9" s="4" customFormat="1" x14ac:dyDescent="0.25">
      <c r="A874" s="3" t="s">
        <v>11</v>
      </c>
      <c r="B874" s="3" t="s">
        <v>11</v>
      </c>
      <c r="C874" s="3" t="s">
        <v>11</v>
      </c>
      <c r="D874" s="5">
        <f>SUBTOTAL(9, D868:D873)</f>
        <v>0</v>
      </c>
      <c r="E874" s="3" t="s">
        <v>11</v>
      </c>
      <c r="F874" s="5">
        <f>SUBTOTAL(9, F868:F873)</f>
        <v>3526249.5500000003</v>
      </c>
      <c r="G874" s="5">
        <f>SUBTOTAL(9, G868:G873)</f>
        <v>0</v>
      </c>
      <c r="H874" s="5">
        <f>SUBTOTAL(9, H868:H873)</f>
        <v>3526249.5500000003</v>
      </c>
      <c r="I874" s="5">
        <f>IF(F874&lt;&gt;0, ((F874-G874)/F874)*100, 0)</f>
        <v>100</v>
      </c>
    </row>
    <row r="875" spans="1:9" customFormat="1" ht="14.5" x14ac:dyDescent="0.35">
      <c r="D875" s="10"/>
      <c r="F875" s="10"/>
      <c r="G875" s="10"/>
      <c r="H875" s="10"/>
      <c r="I875" s="10"/>
    </row>
    <row r="876" spans="1:9" x14ac:dyDescent="0.25">
      <c r="A876" s="2" t="s">
        <v>400</v>
      </c>
      <c r="B876" s="2" t="s">
        <v>401</v>
      </c>
      <c r="C876" s="2" t="s">
        <v>11</v>
      </c>
      <c r="E876" s="2" t="s">
        <v>11</v>
      </c>
      <c r="F876" s="6">
        <v>35350</v>
      </c>
      <c r="H876" s="6">
        <f>F876-G876</f>
        <v>35350</v>
      </c>
      <c r="I876" s="6">
        <f>IF(F876&lt;&gt;0, ((F876-G876)/F876)*100, 0)</f>
        <v>100</v>
      </c>
    </row>
    <row r="877" spans="1:9" customFormat="1" ht="14.5" x14ac:dyDescent="0.35">
      <c r="D877" s="10"/>
      <c r="F877" s="10"/>
      <c r="G877" s="10"/>
      <c r="H877" s="10"/>
      <c r="I877" s="10"/>
    </row>
    <row r="878" spans="1:9" s="4" customFormat="1" x14ac:dyDescent="0.25">
      <c r="A878" s="3" t="s">
        <v>11</v>
      </c>
      <c r="B878" s="3" t="s">
        <v>11</v>
      </c>
      <c r="C878" s="3" t="s">
        <v>11</v>
      </c>
      <c r="D878" s="5">
        <f>SUBTOTAL(9, D876:D877)</f>
        <v>0</v>
      </c>
      <c r="E878" s="3" t="s">
        <v>11</v>
      </c>
      <c r="F878" s="5">
        <f>SUBTOTAL(9, F876:F877)</f>
        <v>35350</v>
      </c>
      <c r="G878" s="5">
        <f>SUBTOTAL(9, G876:G877)</f>
        <v>0</v>
      </c>
      <c r="H878" s="5">
        <f>SUBTOTAL(9, H876:H877)</f>
        <v>35350</v>
      </c>
      <c r="I878" s="5">
        <f>IF(F878&lt;&gt;0, ((F878-G878)/F878)*100, 0)</f>
        <v>100</v>
      </c>
    </row>
    <row r="879" spans="1:9" customFormat="1" ht="14.5" x14ac:dyDescent="0.35">
      <c r="D879" s="10"/>
      <c r="F879" s="10"/>
      <c r="G879" s="10"/>
      <c r="H879" s="10"/>
      <c r="I879" s="10"/>
    </row>
    <row r="880" spans="1:9" x14ac:dyDescent="0.25">
      <c r="A880" s="2" t="s">
        <v>402</v>
      </c>
      <c r="B880" s="2" t="s">
        <v>403</v>
      </c>
      <c r="C880" s="2" t="s">
        <v>11</v>
      </c>
      <c r="E880" s="2" t="s">
        <v>11</v>
      </c>
      <c r="F880" s="6">
        <v>211940</v>
      </c>
      <c r="H880" s="6">
        <f>F880-G880</f>
        <v>211940</v>
      </c>
      <c r="I880" s="6">
        <f>IF(F880&lt;&gt;0, ((F880-G880)/F880)*100, 0)</f>
        <v>100</v>
      </c>
    </row>
    <row r="881" spans="1:9" customFormat="1" ht="14.5" x14ac:dyDescent="0.35">
      <c r="D881" s="10"/>
      <c r="F881" s="10"/>
      <c r="G881" s="10"/>
      <c r="H881" s="10"/>
      <c r="I881" s="10"/>
    </row>
    <row r="882" spans="1:9" s="4" customFormat="1" x14ac:dyDescent="0.25">
      <c r="A882" s="3" t="s">
        <v>11</v>
      </c>
      <c r="B882" s="3" t="s">
        <v>11</v>
      </c>
      <c r="C882" s="3" t="s">
        <v>11</v>
      </c>
      <c r="D882" s="5">
        <f>SUBTOTAL(9, D880:D881)</f>
        <v>0</v>
      </c>
      <c r="E882" s="3" t="s">
        <v>11</v>
      </c>
      <c r="F882" s="5">
        <f>SUBTOTAL(9, F880:F881)</f>
        <v>211940</v>
      </c>
      <c r="G882" s="5">
        <f>SUBTOTAL(9, G880:G881)</f>
        <v>0</v>
      </c>
      <c r="H882" s="5">
        <f>SUBTOTAL(9, H880:H881)</f>
        <v>211940</v>
      </c>
      <c r="I882" s="5">
        <f>IF(F882&lt;&gt;0, ((F882-G882)/F882)*100, 0)</f>
        <v>100</v>
      </c>
    </row>
    <row r="883" spans="1:9" customFormat="1" ht="14.5" x14ac:dyDescent="0.35">
      <c r="D883" s="10"/>
      <c r="F883" s="10"/>
      <c r="G883" s="10"/>
      <c r="H883" s="10"/>
      <c r="I883" s="10"/>
    </row>
    <row r="884" spans="1:9" x14ac:dyDescent="0.25">
      <c r="A884" s="2" t="s">
        <v>404</v>
      </c>
      <c r="B884" s="2" t="s">
        <v>405</v>
      </c>
      <c r="C884" s="2" t="s">
        <v>11</v>
      </c>
      <c r="E884" s="2" t="s">
        <v>11</v>
      </c>
      <c r="F884" s="6">
        <v>17950</v>
      </c>
      <c r="H884" s="6">
        <f>F884-G884</f>
        <v>17950</v>
      </c>
      <c r="I884" s="6">
        <f>IF(F884&lt;&gt;0, ((F884-G884)/F884)*100, 0)</f>
        <v>100</v>
      </c>
    </row>
    <row r="885" spans="1:9" x14ac:dyDescent="0.25">
      <c r="A885" s="2" t="s">
        <v>404</v>
      </c>
      <c r="B885" s="2" t="s">
        <v>405</v>
      </c>
      <c r="C885" s="2" t="s">
        <v>11</v>
      </c>
      <c r="E885" s="2" t="s">
        <v>11</v>
      </c>
      <c r="F885" s="6">
        <v>268595</v>
      </c>
      <c r="H885" s="6">
        <f>F885-G885</f>
        <v>268595</v>
      </c>
      <c r="I885" s="6">
        <f>IF(F885&lt;&gt;0, ((F885-G885)/F885)*100, 0)</f>
        <v>100</v>
      </c>
    </row>
    <row r="886" spans="1:9" x14ac:dyDescent="0.25">
      <c r="A886" s="2" t="s">
        <v>404</v>
      </c>
      <c r="B886" s="2" t="s">
        <v>405</v>
      </c>
      <c r="C886" s="2" t="s">
        <v>11</v>
      </c>
      <c r="E886" s="2" t="s">
        <v>11</v>
      </c>
      <c r="F886" s="6">
        <v>307920</v>
      </c>
      <c r="H886" s="6">
        <f>F886-G886</f>
        <v>307920</v>
      </c>
      <c r="I886" s="6">
        <f>IF(F886&lt;&gt;0, ((F886-G886)/F886)*100, 0)</f>
        <v>100</v>
      </c>
    </row>
    <row r="887" spans="1:9" x14ac:dyDescent="0.25">
      <c r="A887" s="2" t="s">
        <v>404</v>
      </c>
      <c r="B887" s="2" t="s">
        <v>405</v>
      </c>
      <c r="C887" s="2" t="s">
        <v>11</v>
      </c>
      <c r="E887" s="2" t="s">
        <v>11</v>
      </c>
      <c r="F887" s="6">
        <v>92827</v>
      </c>
      <c r="H887" s="6">
        <f>F887-G887</f>
        <v>92827</v>
      </c>
      <c r="I887" s="6">
        <f>IF(F887&lt;&gt;0, ((F887-G887)/F887)*100, 0)</f>
        <v>100</v>
      </c>
    </row>
    <row r="888" spans="1:9" x14ac:dyDescent="0.25">
      <c r="A888" s="2" t="s">
        <v>404</v>
      </c>
      <c r="B888" s="2" t="s">
        <v>405</v>
      </c>
      <c r="C888" s="2" t="s">
        <v>11</v>
      </c>
      <c r="E888" s="2" t="s">
        <v>11</v>
      </c>
      <c r="F888" s="6">
        <v>172845038.78</v>
      </c>
      <c r="H888" s="6">
        <f>F888-G888</f>
        <v>172845038.78</v>
      </c>
      <c r="I888" s="6">
        <f>IF(F888&lt;&gt;0, ((F888-G888)/F888)*100, 0)</f>
        <v>100</v>
      </c>
    </row>
    <row r="889" spans="1:9" x14ac:dyDescent="0.25">
      <c r="A889" s="2" t="s">
        <v>404</v>
      </c>
      <c r="B889" s="2" t="s">
        <v>405</v>
      </c>
      <c r="C889" s="2" t="s">
        <v>11</v>
      </c>
      <c r="E889" s="2" t="s">
        <v>11</v>
      </c>
      <c r="F889" s="6">
        <v>172865</v>
      </c>
      <c r="H889" s="6">
        <f>F889-G889</f>
        <v>172865</v>
      </c>
      <c r="I889" s="6">
        <f>IF(F889&lt;&gt;0, ((F889-G889)/F889)*100, 0)</f>
        <v>100</v>
      </c>
    </row>
    <row r="890" spans="1:9" x14ac:dyDescent="0.25">
      <c r="A890" s="2" t="s">
        <v>404</v>
      </c>
      <c r="B890" s="2" t="s">
        <v>405</v>
      </c>
      <c r="C890" s="2" t="s">
        <v>11</v>
      </c>
      <c r="E890" s="2" t="s">
        <v>11</v>
      </c>
      <c r="F890" s="6">
        <v>812851</v>
      </c>
      <c r="H890" s="6">
        <f>F890-G890</f>
        <v>812851</v>
      </c>
      <c r="I890" s="6">
        <f>IF(F890&lt;&gt;0, ((F890-G890)/F890)*100, 0)</f>
        <v>100</v>
      </c>
    </row>
    <row r="891" spans="1:9" x14ac:dyDescent="0.25">
      <c r="A891" s="2" t="s">
        <v>404</v>
      </c>
      <c r="B891" s="2" t="s">
        <v>405</v>
      </c>
      <c r="C891" s="2" t="s">
        <v>11</v>
      </c>
      <c r="E891" s="2" t="s">
        <v>11</v>
      </c>
      <c r="F891" s="6">
        <v>37820</v>
      </c>
      <c r="H891" s="6">
        <f>F891-G891</f>
        <v>37820</v>
      </c>
      <c r="I891" s="6">
        <f>IF(F891&lt;&gt;0, ((F891-G891)/F891)*100, 0)</f>
        <v>100</v>
      </c>
    </row>
    <row r="892" spans="1:9" customFormat="1" ht="14.5" x14ac:dyDescent="0.35">
      <c r="D892" s="10"/>
      <c r="F892" s="10"/>
      <c r="G892" s="10"/>
      <c r="H892" s="10"/>
      <c r="I892" s="10"/>
    </row>
    <row r="893" spans="1:9" s="4" customFormat="1" x14ac:dyDescent="0.25">
      <c r="A893" s="3" t="s">
        <v>11</v>
      </c>
      <c r="B893" s="3" t="s">
        <v>11</v>
      </c>
      <c r="C893" s="3" t="s">
        <v>11</v>
      </c>
      <c r="D893" s="5">
        <f>SUBTOTAL(9, D884:D892)</f>
        <v>0</v>
      </c>
      <c r="E893" s="3" t="s">
        <v>11</v>
      </c>
      <c r="F893" s="5">
        <f>SUBTOTAL(9, F884:F892)</f>
        <v>174555866.78</v>
      </c>
      <c r="G893" s="5">
        <f>SUBTOTAL(9, G884:G892)</f>
        <v>0</v>
      </c>
      <c r="H893" s="5">
        <f>SUBTOTAL(9, H884:H892)</f>
        <v>174555866.78</v>
      </c>
      <c r="I893" s="5">
        <f>IF(F893&lt;&gt;0, ((F893-G893)/F893)*100, 0)</f>
        <v>100</v>
      </c>
    </row>
    <row r="894" spans="1:9" customFormat="1" ht="14.5" x14ac:dyDescent="0.35">
      <c r="D894" s="10"/>
      <c r="F894" s="10"/>
      <c r="G894" s="10"/>
      <c r="H894" s="10"/>
      <c r="I894" s="10"/>
    </row>
    <row r="895" spans="1:9" x14ac:dyDescent="0.25">
      <c r="A895" s="2" t="s">
        <v>406</v>
      </c>
      <c r="B895" s="2" t="s">
        <v>407</v>
      </c>
      <c r="C895" s="2" t="s">
        <v>11</v>
      </c>
      <c r="E895" s="2" t="s">
        <v>11</v>
      </c>
      <c r="F895" s="6">
        <v>2250</v>
      </c>
      <c r="H895" s="6">
        <f>F895-G895</f>
        <v>2250</v>
      </c>
      <c r="I895" s="6">
        <f>IF(F895&lt;&gt;0, ((F895-G895)/F895)*100, 0)</f>
        <v>100</v>
      </c>
    </row>
    <row r="896" spans="1:9" x14ac:dyDescent="0.25">
      <c r="A896" s="2" t="s">
        <v>406</v>
      </c>
      <c r="B896" s="2" t="s">
        <v>407</v>
      </c>
      <c r="C896" s="2" t="s">
        <v>11</v>
      </c>
      <c r="E896" s="2" t="s">
        <v>11</v>
      </c>
      <c r="F896" s="6">
        <v>55589571.289999999</v>
      </c>
      <c r="H896" s="6">
        <f>F896-G896</f>
        <v>55589571.289999999</v>
      </c>
      <c r="I896" s="6">
        <f>IF(F896&lt;&gt;0, ((F896-G896)/F896)*100, 0)</f>
        <v>100</v>
      </c>
    </row>
    <row r="897" spans="1:9" x14ac:dyDescent="0.25">
      <c r="A897" s="2" t="s">
        <v>406</v>
      </c>
      <c r="B897" s="2" t="s">
        <v>407</v>
      </c>
      <c r="C897" s="2" t="s">
        <v>11</v>
      </c>
      <c r="E897" s="2" t="s">
        <v>11</v>
      </c>
      <c r="F897" s="6">
        <v>366900</v>
      </c>
      <c r="H897" s="6">
        <f>F897-G897</f>
        <v>366900</v>
      </c>
      <c r="I897" s="6">
        <f>IF(F897&lt;&gt;0, ((F897-G897)/F897)*100, 0)</f>
        <v>100</v>
      </c>
    </row>
    <row r="898" spans="1:9" x14ac:dyDescent="0.25">
      <c r="A898" s="2" t="s">
        <v>406</v>
      </c>
      <c r="B898" s="2" t="s">
        <v>407</v>
      </c>
      <c r="C898" s="2" t="s">
        <v>11</v>
      </c>
      <c r="E898" s="2" t="s">
        <v>11</v>
      </c>
      <c r="F898" s="6">
        <v>340800</v>
      </c>
      <c r="H898" s="6">
        <f>F898-G898</f>
        <v>340800</v>
      </c>
      <c r="I898" s="6">
        <f>IF(F898&lt;&gt;0, ((F898-G898)/F898)*100, 0)</f>
        <v>100</v>
      </c>
    </row>
    <row r="899" spans="1:9" x14ac:dyDescent="0.25">
      <c r="A899" s="2" t="s">
        <v>406</v>
      </c>
      <c r="B899" s="2" t="s">
        <v>407</v>
      </c>
      <c r="C899" s="2" t="s">
        <v>11</v>
      </c>
      <c r="E899" s="2" t="s">
        <v>11</v>
      </c>
      <c r="F899" s="6">
        <v>145950</v>
      </c>
      <c r="H899" s="6">
        <f>F899-G899</f>
        <v>145950</v>
      </c>
      <c r="I899" s="6">
        <f>IF(F899&lt;&gt;0, ((F899-G899)/F899)*100, 0)</f>
        <v>100</v>
      </c>
    </row>
    <row r="900" spans="1:9" x14ac:dyDescent="0.25">
      <c r="A900" s="2" t="s">
        <v>406</v>
      </c>
      <c r="B900" s="2" t="s">
        <v>407</v>
      </c>
      <c r="C900" s="2" t="s">
        <v>11</v>
      </c>
      <c r="E900" s="2" t="s">
        <v>11</v>
      </c>
      <c r="F900" s="6">
        <v>390400</v>
      </c>
      <c r="H900" s="6">
        <f>F900-G900</f>
        <v>390400</v>
      </c>
      <c r="I900" s="6">
        <f>IF(F900&lt;&gt;0, ((F900-G900)/F900)*100, 0)</f>
        <v>100</v>
      </c>
    </row>
    <row r="901" spans="1:9" x14ac:dyDescent="0.25">
      <c r="A901" s="2" t="s">
        <v>406</v>
      </c>
      <c r="B901" s="2" t="s">
        <v>407</v>
      </c>
      <c r="C901" s="2" t="s">
        <v>11</v>
      </c>
      <c r="E901" s="2" t="s">
        <v>11</v>
      </c>
      <c r="F901" s="6">
        <v>29170941.300000001</v>
      </c>
      <c r="H901" s="6">
        <f>F901-G901</f>
        <v>29170941.300000001</v>
      </c>
      <c r="I901" s="6">
        <f>IF(F901&lt;&gt;0, ((F901-G901)/F901)*100, 0)</f>
        <v>100</v>
      </c>
    </row>
    <row r="902" spans="1:9" x14ac:dyDescent="0.25">
      <c r="A902" s="2" t="s">
        <v>406</v>
      </c>
      <c r="B902" s="2" t="s">
        <v>407</v>
      </c>
      <c r="C902" s="2" t="s">
        <v>11</v>
      </c>
      <c r="E902" s="2" t="s">
        <v>11</v>
      </c>
      <c r="F902" s="6">
        <v>158900</v>
      </c>
      <c r="H902" s="6">
        <f>F902-G902</f>
        <v>158900</v>
      </c>
      <c r="I902" s="6">
        <f>IF(F902&lt;&gt;0, ((F902-G902)/F902)*100, 0)</f>
        <v>100</v>
      </c>
    </row>
    <row r="903" spans="1:9" x14ac:dyDescent="0.25">
      <c r="A903" s="2" t="s">
        <v>406</v>
      </c>
      <c r="B903" s="2" t="s">
        <v>407</v>
      </c>
      <c r="C903" s="2" t="s">
        <v>11</v>
      </c>
      <c r="E903" s="2" t="s">
        <v>11</v>
      </c>
      <c r="H903" s="6">
        <f>F903-G903</f>
        <v>0</v>
      </c>
      <c r="I903" s="6">
        <f>IF(F903&lt;&gt;0, ((F903-G903)/F903)*100, 0)</f>
        <v>0</v>
      </c>
    </row>
    <row r="904" spans="1:9" x14ac:dyDescent="0.25">
      <c r="A904" s="2" t="s">
        <v>406</v>
      </c>
      <c r="B904" s="2" t="s">
        <v>407</v>
      </c>
      <c r="C904" s="2" t="s">
        <v>11</v>
      </c>
      <c r="E904" s="2" t="s">
        <v>11</v>
      </c>
      <c r="F904" s="6">
        <v>341601.6</v>
      </c>
      <c r="H904" s="6">
        <f>F904-G904</f>
        <v>341601.6</v>
      </c>
      <c r="I904" s="6">
        <f>IF(F904&lt;&gt;0, ((F904-G904)/F904)*100, 0)</f>
        <v>100</v>
      </c>
    </row>
    <row r="905" spans="1:9" x14ac:dyDescent="0.25">
      <c r="A905" s="2" t="s">
        <v>406</v>
      </c>
      <c r="B905" s="2" t="s">
        <v>407</v>
      </c>
      <c r="C905" s="2" t="s">
        <v>11</v>
      </c>
      <c r="E905" s="2" t="s">
        <v>11</v>
      </c>
      <c r="F905" s="6">
        <v>70400</v>
      </c>
      <c r="H905" s="6">
        <f>F905-G905</f>
        <v>70400</v>
      </c>
      <c r="I905" s="6">
        <f>IF(F905&lt;&gt;0, ((F905-G905)/F905)*100, 0)</f>
        <v>100</v>
      </c>
    </row>
    <row r="906" spans="1:9" customFormat="1" ht="14.5" x14ac:dyDescent="0.35">
      <c r="D906" s="10"/>
      <c r="F906" s="10"/>
      <c r="G906" s="10"/>
      <c r="H906" s="10"/>
      <c r="I906" s="10"/>
    </row>
    <row r="907" spans="1:9" s="4" customFormat="1" x14ac:dyDescent="0.25">
      <c r="A907" s="3" t="s">
        <v>11</v>
      </c>
      <c r="B907" s="3" t="s">
        <v>11</v>
      </c>
      <c r="C907" s="3" t="s">
        <v>11</v>
      </c>
      <c r="D907" s="5">
        <f>SUBTOTAL(9, D895:D906)</f>
        <v>0</v>
      </c>
      <c r="E907" s="3" t="s">
        <v>11</v>
      </c>
      <c r="F907" s="5">
        <f>SUBTOTAL(9, F895:F906)</f>
        <v>86577714.189999998</v>
      </c>
      <c r="G907" s="5">
        <f>SUBTOTAL(9, G895:G906)</f>
        <v>0</v>
      </c>
      <c r="H907" s="5">
        <f>SUBTOTAL(9, H895:H906)</f>
        <v>86577714.189999998</v>
      </c>
      <c r="I907" s="5">
        <f>IF(F907&lt;&gt;0, ((F907-G907)/F907)*100, 0)</f>
        <v>100</v>
      </c>
    </row>
    <row r="908" spans="1:9" customFormat="1" ht="14.5" x14ac:dyDescent="0.35">
      <c r="D908" s="10"/>
      <c r="F908" s="10"/>
      <c r="G908" s="10"/>
      <c r="H908" s="10"/>
      <c r="I908" s="10"/>
    </row>
    <row r="909" spans="1:9" x14ac:dyDescent="0.25">
      <c r="A909" s="2" t="s">
        <v>408</v>
      </c>
      <c r="B909" s="2" t="s">
        <v>407</v>
      </c>
      <c r="C909" s="2" t="s">
        <v>11</v>
      </c>
      <c r="E909" s="2" t="s">
        <v>11</v>
      </c>
      <c r="F909" s="6">
        <v>4550000</v>
      </c>
      <c r="H909" s="6">
        <f>F909-G909</f>
        <v>4550000</v>
      </c>
      <c r="I909" s="6">
        <f>IF(F909&lt;&gt;0, ((F909-G909)/F909)*100, 0)</f>
        <v>100</v>
      </c>
    </row>
    <row r="910" spans="1:9" x14ac:dyDescent="0.25">
      <c r="A910" s="2" t="s">
        <v>408</v>
      </c>
      <c r="B910" s="2" t="s">
        <v>407</v>
      </c>
      <c r="C910" s="2" t="s">
        <v>11</v>
      </c>
      <c r="E910" s="2" t="s">
        <v>11</v>
      </c>
      <c r="F910" s="6">
        <v>1860000</v>
      </c>
      <c r="H910" s="6">
        <f>F910-G910</f>
        <v>1860000</v>
      </c>
      <c r="I910" s="6">
        <f>IF(F910&lt;&gt;0, ((F910-G910)/F910)*100, 0)</f>
        <v>100</v>
      </c>
    </row>
    <row r="911" spans="1:9" customFormat="1" ht="14.5" x14ac:dyDescent="0.35">
      <c r="D911" s="10"/>
      <c r="F911" s="10"/>
      <c r="G911" s="10"/>
      <c r="H911" s="10"/>
      <c r="I911" s="10"/>
    </row>
    <row r="912" spans="1:9" s="4" customFormat="1" x14ac:dyDescent="0.25">
      <c r="A912" s="3" t="s">
        <v>11</v>
      </c>
      <c r="B912" s="3" t="s">
        <v>11</v>
      </c>
      <c r="C912" s="3" t="s">
        <v>11</v>
      </c>
      <c r="D912" s="5">
        <f>SUBTOTAL(9, D909:D911)</f>
        <v>0</v>
      </c>
      <c r="E912" s="3" t="s">
        <v>11</v>
      </c>
      <c r="F912" s="5">
        <f>SUBTOTAL(9, F909:F911)</f>
        <v>6410000</v>
      </c>
      <c r="G912" s="5">
        <f>SUBTOTAL(9, G909:G911)</f>
        <v>0</v>
      </c>
      <c r="H912" s="5">
        <f>SUBTOTAL(9, H909:H911)</f>
        <v>6410000</v>
      </c>
      <c r="I912" s="5">
        <f>IF(F912&lt;&gt;0, ((F912-G912)/F912)*100, 0)</f>
        <v>100</v>
      </c>
    </row>
    <row r="913" spans="1:9" customFormat="1" ht="14.5" x14ac:dyDescent="0.35">
      <c r="D913" s="10"/>
      <c r="F913" s="10"/>
      <c r="G913" s="10"/>
      <c r="H913" s="10"/>
      <c r="I913" s="10"/>
    </row>
    <row r="914" spans="1:9" x14ac:dyDescent="0.25">
      <c r="A914" s="2" t="s">
        <v>409</v>
      </c>
      <c r="B914" s="2" t="s">
        <v>410</v>
      </c>
      <c r="C914" s="2" t="s">
        <v>11</v>
      </c>
      <c r="E914" s="2" t="s">
        <v>11</v>
      </c>
      <c r="F914" s="6">
        <v>5197395.4000000004</v>
      </c>
      <c r="H914" s="6">
        <f>F914-G914</f>
        <v>5197395.4000000004</v>
      </c>
      <c r="I914" s="6">
        <f>IF(F914&lt;&gt;0, ((F914-G914)/F914)*100, 0)</f>
        <v>100</v>
      </c>
    </row>
    <row r="915" spans="1:9" x14ac:dyDescent="0.25">
      <c r="A915" s="2" t="s">
        <v>409</v>
      </c>
      <c r="B915" s="2" t="s">
        <v>410</v>
      </c>
      <c r="C915" s="2" t="s">
        <v>11</v>
      </c>
      <c r="E915" s="2" t="s">
        <v>11</v>
      </c>
      <c r="F915" s="6">
        <v>1269133.8999999999</v>
      </c>
      <c r="H915" s="6">
        <f>F915-G915</f>
        <v>1269133.8999999999</v>
      </c>
      <c r="I915" s="6">
        <f>IF(F915&lt;&gt;0, ((F915-G915)/F915)*100, 0)</f>
        <v>100</v>
      </c>
    </row>
    <row r="916" spans="1:9" x14ac:dyDescent="0.25">
      <c r="A916" s="2" t="s">
        <v>409</v>
      </c>
      <c r="B916" s="2" t="s">
        <v>410</v>
      </c>
      <c r="C916" s="2" t="s">
        <v>11</v>
      </c>
      <c r="E916" s="2" t="s">
        <v>11</v>
      </c>
      <c r="F916" s="6">
        <v>19330</v>
      </c>
      <c r="H916" s="6">
        <f>F916-G916</f>
        <v>19330</v>
      </c>
      <c r="I916" s="6">
        <f>IF(F916&lt;&gt;0, ((F916-G916)/F916)*100, 0)</f>
        <v>100</v>
      </c>
    </row>
    <row r="917" spans="1:9" customFormat="1" ht="14.5" x14ac:dyDescent="0.35">
      <c r="D917" s="10"/>
      <c r="F917" s="10"/>
      <c r="G917" s="10"/>
      <c r="H917" s="10"/>
      <c r="I917" s="10"/>
    </row>
    <row r="918" spans="1:9" s="4" customFormat="1" x14ac:dyDescent="0.25">
      <c r="A918" s="3" t="s">
        <v>11</v>
      </c>
      <c r="B918" s="3" t="s">
        <v>11</v>
      </c>
      <c r="C918" s="3" t="s">
        <v>11</v>
      </c>
      <c r="D918" s="5">
        <f>SUBTOTAL(9, D914:D917)</f>
        <v>0</v>
      </c>
      <c r="E918" s="3" t="s">
        <v>11</v>
      </c>
      <c r="F918" s="5">
        <f>SUBTOTAL(9, F914:F917)</f>
        <v>6485859.3000000007</v>
      </c>
      <c r="G918" s="5">
        <f>SUBTOTAL(9, G914:G917)</f>
        <v>0</v>
      </c>
      <c r="H918" s="5">
        <f>SUBTOTAL(9, H914:H917)</f>
        <v>6485859.3000000007</v>
      </c>
      <c r="I918" s="5">
        <f>IF(F918&lt;&gt;0, ((F918-G918)/F918)*100, 0)</f>
        <v>100</v>
      </c>
    </row>
    <row r="919" spans="1:9" customFormat="1" ht="14.5" x14ac:dyDescent="0.35">
      <c r="D919" s="10"/>
      <c r="F919" s="10"/>
      <c r="G919" s="10"/>
      <c r="H919" s="10"/>
      <c r="I919" s="10"/>
    </row>
    <row r="920" spans="1:9" x14ac:dyDescent="0.25">
      <c r="A920" s="2" t="s">
        <v>411</v>
      </c>
      <c r="B920" s="2" t="s">
        <v>412</v>
      </c>
      <c r="C920" s="2" t="s">
        <v>11</v>
      </c>
      <c r="E920" s="2" t="s">
        <v>11</v>
      </c>
      <c r="F920" s="6">
        <v>22470</v>
      </c>
      <c r="H920" s="6">
        <f>F920-G920</f>
        <v>22470</v>
      </c>
      <c r="I920" s="6">
        <f>IF(F920&lt;&gt;0, ((F920-G920)/F920)*100, 0)</f>
        <v>100</v>
      </c>
    </row>
    <row r="921" spans="1:9" customFormat="1" ht="14.5" x14ac:dyDescent="0.35">
      <c r="D921" s="10"/>
      <c r="F921" s="10"/>
      <c r="G921" s="10"/>
      <c r="H921" s="10"/>
      <c r="I921" s="10"/>
    </row>
    <row r="922" spans="1:9" s="4" customFormat="1" x14ac:dyDescent="0.25">
      <c r="A922" s="3" t="s">
        <v>11</v>
      </c>
      <c r="B922" s="3" t="s">
        <v>11</v>
      </c>
      <c r="C922" s="3" t="s">
        <v>11</v>
      </c>
      <c r="D922" s="5">
        <f>SUBTOTAL(9, D920:D921)</f>
        <v>0</v>
      </c>
      <c r="E922" s="3" t="s">
        <v>11</v>
      </c>
      <c r="F922" s="5">
        <f>SUBTOTAL(9, F920:F921)</f>
        <v>22470</v>
      </c>
      <c r="G922" s="5">
        <f>SUBTOTAL(9, G920:G921)</f>
        <v>0</v>
      </c>
      <c r="H922" s="5">
        <f>SUBTOTAL(9, H920:H921)</f>
        <v>22470</v>
      </c>
      <c r="I922" s="5">
        <f>IF(F922&lt;&gt;0, ((F922-G922)/F922)*100, 0)</f>
        <v>100</v>
      </c>
    </row>
    <row r="923" spans="1:9" customFormat="1" ht="14.5" x14ac:dyDescent="0.35">
      <c r="D923" s="10"/>
      <c r="F923" s="10"/>
      <c r="G923" s="10"/>
      <c r="H923" s="10"/>
      <c r="I923" s="10"/>
    </row>
    <row r="924" spans="1:9" x14ac:dyDescent="0.25">
      <c r="A924" s="2" t="s">
        <v>413</v>
      </c>
      <c r="B924" s="2" t="s">
        <v>414</v>
      </c>
      <c r="C924" s="2" t="s">
        <v>11</v>
      </c>
      <c r="E924" s="2" t="s">
        <v>11</v>
      </c>
      <c r="F924" s="6">
        <v>4922202.32</v>
      </c>
      <c r="H924" s="6">
        <f>F924-G924</f>
        <v>4922202.32</v>
      </c>
      <c r="I924" s="6">
        <f>IF(F924&lt;&gt;0, ((F924-G924)/F924)*100, 0)</f>
        <v>100</v>
      </c>
    </row>
    <row r="925" spans="1:9" customFormat="1" ht="14.5" x14ac:dyDescent="0.35">
      <c r="D925" s="10"/>
      <c r="F925" s="10"/>
      <c r="G925" s="10"/>
      <c r="H925" s="10"/>
      <c r="I925" s="10"/>
    </row>
    <row r="926" spans="1:9" s="4" customFormat="1" x14ac:dyDescent="0.25">
      <c r="A926" s="3" t="s">
        <v>11</v>
      </c>
      <c r="B926" s="3" t="s">
        <v>11</v>
      </c>
      <c r="C926" s="3" t="s">
        <v>11</v>
      </c>
      <c r="D926" s="5">
        <f>SUBTOTAL(9, D924:D925)</f>
        <v>0</v>
      </c>
      <c r="E926" s="3" t="s">
        <v>11</v>
      </c>
      <c r="F926" s="5">
        <f>SUBTOTAL(9, F924:F925)</f>
        <v>4922202.32</v>
      </c>
      <c r="G926" s="5">
        <f>SUBTOTAL(9, G924:G925)</f>
        <v>0</v>
      </c>
      <c r="H926" s="5">
        <f>SUBTOTAL(9, H924:H925)</f>
        <v>4922202.32</v>
      </c>
      <c r="I926" s="5">
        <f>IF(F926&lt;&gt;0, ((F926-G926)/F926)*100, 0)</f>
        <v>100</v>
      </c>
    </row>
    <row r="927" spans="1:9" customFormat="1" ht="14.5" x14ac:dyDescent="0.35">
      <c r="D927" s="10"/>
      <c r="F927" s="10"/>
      <c r="G927" s="10"/>
      <c r="H927" s="10"/>
      <c r="I927" s="10"/>
    </row>
    <row r="928" spans="1:9" x14ac:dyDescent="0.25">
      <c r="A928" s="2" t="s">
        <v>415</v>
      </c>
      <c r="B928" s="2" t="s">
        <v>416</v>
      </c>
      <c r="C928" s="2" t="s">
        <v>11</v>
      </c>
      <c r="E928" s="2" t="s">
        <v>11</v>
      </c>
      <c r="F928" s="6">
        <v>240296</v>
      </c>
      <c r="H928" s="6">
        <f>F928-G928</f>
        <v>240296</v>
      </c>
      <c r="I928" s="6">
        <f>IF(F928&lt;&gt;0, ((F928-G928)/F928)*100, 0)</f>
        <v>100</v>
      </c>
    </row>
    <row r="929" spans="1:9" customFormat="1" ht="14.5" x14ac:dyDescent="0.35">
      <c r="D929" s="10"/>
      <c r="F929" s="10"/>
      <c r="G929" s="10"/>
      <c r="H929" s="10"/>
      <c r="I929" s="10"/>
    </row>
    <row r="930" spans="1:9" s="4" customFormat="1" x14ac:dyDescent="0.25">
      <c r="A930" s="3" t="s">
        <v>11</v>
      </c>
      <c r="B930" s="3" t="s">
        <v>11</v>
      </c>
      <c r="C930" s="3" t="s">
        <v>11</v>
      </c>
      <c r="D930" s="5">
        <f>SUBTOTAL(9, D928:D929)</f>
        <v>0</v>
      </c>
      <c r="E930" s="3" t="s">
        <v>11</v>
      </c>
      <c r="F930" s="5">
        <f>SUBTOTAL(9, F928:F929)</f>
        <v>240296</v>
      </c>
      <c r="G930" s="5">
        <f>SUBTOTAL(9, G928:G929)</f>
        <v>0</v>
      </c>
      <c r="H930" s="5">
        <f>SUBTOTAL(9, H928:H929)</f>
        <v>240296</v>
      </c>
      <c r="I930" s="5">
        <f>IF(F930&lt;&gt;0, ((F930-G930)/F930)*100, 0)</f>
        <v>100</v>
      </c>
    </row>
    <row r="931" spans="1:9" customFormat="1" ht="14.5" x14ac:dyDescent="0.35">
      <c r="D931" s="10"/>
      <c r="F931" s="10"/>
      <c r="G931" s="10"/>
      <c r="H931" s="10"/>
      <c r="I931" s="10"/>
    </row>
    <row r="932" spans="1:9" x14ac:dyDescent="0.25">
      <c r="A932" s="2" t="s">
        <v>417</v>
      </c>
      <c r="B932" s="2" t="s">
        <v>418</v>
      </c>
      <c r="C932" s="2" t="s">
        <v>11</v>
      </c>
      <c r="E932" s="2" t="s">
        <v>11</v>
      </c>
      <c r="F932" s="6">
        <v>152415</v>
      </c>
      <c r="H932" s="6">
        <f>F932-G932</f>
        <v>152415</v>
      </c>
      <c r="I932" s="6">
        <f>IF(F932&lt;&gt;0, ((F932-G932)/F932)*100, 0)</f>
        <v>100</v>
      </c>
    </row>
    <row r="933" spans="1:9" customFormat="1" ht="14.5" x14ac:dyDescent="0.35">
      <c r="D933" s="10"/>
      <c r="F933" s="10"/>
      <c r="G933" s="10"/>
      <c r="H933" s="10"/>
      <c r="I933" s="10"/>
    </row>
    <row r="934" spans="1:9" s="4" customFormat="1" x14ac:dyDescent="0.25">
      <c r="A934" s="3" t="s">
        <v>11</v>
      </c>
      <c r="B934" s="3" t="s">
        <v>11</v>
      </c>
      <c r="C934" s="3" t="s">
        <v>11</v>
      </c>
      <c r="D934" s="5">
        <f>SUBTOTAL(9, D932:D933)</f>
        <v>0</v>
      </c>
      <c r="E934" s="3" t="s">
        <v>11</v>
      </c>
      <c r="F934" s="5">
        <f>SUBTOTAL(9, F932:F933)</f>
        <v>152415</v>
      </c>
      <c r="G934" s="5">
        <f>SUBTOTAL(9, G932:G933)</f>
        <v>0</v>
      </c>
      <c r="H934" s="5">
        <f>SUBTOTAL(9, H932:H933)</f>
        <v>152415</v>
      </c>
      <c r="I934" s="5">
        <f>IF(F934&lt;&gt;0, ((F934-G934)/F934)*100, 0)</f>
        <v>100</v>
      </c>
    </row>
    <row r="935" spans="1:9" customFormat="1" ht="14.5" x14ac:dyDescent="0.35">
      <c r="D935" s="10"/>
      <c r="F935" s="10"/>
      <c r="G935" s="10"/>
      <c r="H935" s="10"/>
      <c r="I935" s="10"/>
    </row>
    <row r="936" spans="1:9" x14ac:dyDescent="0.25">
      <c r="A936" s="2" t="s">
        <v>419</v>
      </c>
      <c r="B936" s="2" t="s">
        <v>420</v>
      </c>
      <c r="C936" s="2" t="s">
        <v>11</v>
      </c>
      <c r="E936" s="2" t="s">
        <v>11</v>
      </c>
      <c r="F936" s="6">
        <v>77610</v>
      </c>
      <c r="H936" s="6">
        <f>F936-G936</f>
        <v>77610</v>
      </c>
      <c r="I936" s="6">
        <f>IF(F936&lt;&gt;0, ((F936-G936)/F936)*100, 0)</f>
        <v>100</v>
      </c>
    </row>
    <row r="937" spans="1:9" customFormat="1" ht="14.5" x14ac:dyDescent="0.35">
      <c r="D937" s="10"/>
      <c r="F937" s="10"/>
      <c r="G937" s="10"/>
      <c r="H937" s="10"/>
      <c r="I937" s="10"/>
    </row>
    <row r="938" spans="1:9" s="4" customFormat="1" x14ac:dyDescent="0.25">
      <c r="A938" s="3" t="s">
        <v>11</v>
      </c>
      <c r="B938" s="3" t="s">
        <v>11</v>
      </c>
      <c r="C938" s="3" t="s">
        <v>11</v>
      </c>
      <c r="D938" s="5">
        <f>SUBTOTAL(9, D936:D937)</f>
        <v>0</v>
      </c>
      <c r="E938" s="3" t="s">
        <v>11</v>
      </c>
      <c r="F938" s="5">
        <f>SUBTOTAL(9, F936:F937)</f>
        <v>77610</v>
      </c>
      <c r="G938" s="5">
        <f>SUBTOTAL(9, G936:G937)</f>
        <v>0</v>
      </c>
      <c r="H938" s="5">
        <f>SUBTOTAL(9, H936:H937)</f>
        <v>77610</v>
      </c>
      <c r="I938" s="5">
        <f>IF(F938&lt;&gt;0, ((F938-G938)/F938)*100, 0)</f>
        <v>100</v>
      </c>
    </row>
    <row r="939" spans="1:9" customFormat="1" ht="14.5" x14ac:dyDescent="0.35">
      <c r="D939" s="10"/>
      <c r="F939" s="10"/>
      <c r="G939" s="10"/>
      <c r="H939" s="10"/>
      <c r="I939" s="10"/>
    </row>
    <row r="940" spans="1:9" x14ac:dyDescent="0.25">
      <c r="A940" s="2" t="s">
        <v>421</v>
      </c>
      <c r="B940" s="2" t="s">
        <v>422</v>
      </c>
      <c r="C940" s="2" t="s">
        <v>11</v>
      </c>
      <c r="E940" s="2" t="s">
        <v>11</v>
      </c>
      <c r="F940" s="6">
        <v>989200</v>
      </c>
      <c r="H940" s="6">
        <f>F940-G940</f>
        <v>989200</v>
      </c>
      <c r="I940" s="6">
        <f>IF(F940&lt;&gt;0, ((F940-G940)/F940)*100, 0)</f>
        <v>100</v>
      </c>
    </row>
    <row r="941" spans="1:9" customFormat="1" ht="14.5" x14ac:dyDescent="0.35">
      <c r="D941" s="10"/>
      <c r="F941" s="10"/>
      <c r="G941" s="10"/>
      <c r="H941" s="10"/>
      <c r="I941" s="10"/>
    </row>
    <row r="942" spans="1:9" s="4" customFormat="1" x14ac:dyDescent="0.25">
      <c r="A942" s="3" t="s">
        <v>11</v>
      </c>
      <c r="B942" s="3" t="s">
        <v>11</v>
      </c>
      <c r="C942" s="3" t="s">
        <v>11</v>
      </c>
      <c r="D942" s="5">
        <f>SUBTOTAL(9, D940:D941)</f>
        <v>0</v>
      </c>
      <c r="E942" s="3" t="s">
        <v>11</v>
      </c>
      <c r="F942" s="5">
        <f>SUBTOTAL(9, F940:F941)</f>
        <v>989200</v>
      </c>
      <c r="G942" s="5">
        <f>SUBTOTAL(9, G940:G941)</f>
        <v>0</v>
      </c>
      <c r="H942" s="5">
        <f>SUBTOTAL(9, H940:H941)</f>
        <v>989200</v>
      </c>
      <c r="I942" s="5">
        <f>IF(F942&lt;&gt;0, ((F942-G942)/F942)*100, 0)</f>
        <v>100</v>
      </c>
    </row>
    <row r="943" spans="1:9" customFormat="1" ht="14.5" x14ac:dyDescent="0.35">
      <c r="D943" s="10"/>
      <c r="F943" s="10"/>
      <c r="G943" s="10"/>
      <c r="H943" s="10"/>
      <c r="I943" s="10"/>
    </row>
    <row r="944" spans="1:9" x14ac:dyDescent="0.25">
      <c r="A944" s="2" t="s">
        <v>423</v>
      </c>
      <c r="B944" s="2" t="s">
        <v>424</v>
      </c>
      <c r="C944" s="2" t="s">
        <v>11</v>
      </c>
      <c r="E944" s="2" t="s">
        <v>11</v>
      </c>
      <c r="F944" s="6">
        <v>4522300.03</v>
      </c>
      <c r="H944" s="6">
        <f>F944-G944</f>
        <v>4522300.03</v>
      </c>
      <c r="I944" s="6">
        <f>IF(F944&lt;&gt;0, ((F944-G944)/F944)*100, 0)</f>
        <v>100</v>
      </c>
    </row>
    <row r="945" spans="1:9" x14ac:dyDescent="0.25">
      <c r="A945" s="2" t="s">
        <v>423</v>
      </c>
      <c r="B945" s="2" t="s">
        <v>424</v>
      </c>
      <c r="C945" s="2" t="s">
        <v>11</v>
      </c>
      <c r="E945" s="2" t="s">
        <v>11</v>
      </c>
      <c r="F945" s="6">
        <v>240750</v>
      </c>
      <c r="H945" s="6">
        <f>F945-G945</f>
        <v>240750</v>
      </c>
      <c r="I945" s="6">
        <f>IF(F945&lt;&gt;0, ((F945-G945)/F945)*100, 0)</f>
        <v>100</v>
      </c>
    </row>
    <row r="946" spans="1:9" customFormat="1" ht="14.5" x14ac:dyDescent="0.35">
      <c r="D946" s="10"/>
      <c r="F946" s="10"/>
      <c r="G946" s="10"/>
      <c r="H946" s="10"/>
      <c r="I946" s="10"/>
    </row>
    <row r="947" spans="1:9" s="4" customFormat="1" x14ac:dyDescent="0.25">
      <c r="A947" s="3" t="s">
        <v>11</v>
      </c>
      <c r="B947" s="3" t="s">
        <v>11</v>
      </c>
      <c r="C947" s="3" t="s">
        <v>11</v>
      </c>
      <c r="D947" s="5">
        <f>SUBTOTAL(9, D944:D946)</f>
        <v>0</v>
      </c>
      <c r="E947" s="3" t="s">
        <v>11</v>
      </c>
      <c r="F947" s="5">
        <f>SUBTOTAL(9, F944:F946)</f>
        <v>4763050.03</v>
      </c>
      <c r="G947" s="5">
        <f>SUBTOTAL(9, G944:G946)</f>
        <v>0</v>
      </c>
      <c r="H947" s="5">
        <f>SUBTOTAL(9, H944:H946)</f>
        <v>4763050.03</v>
      </c>
      <c r="I947" s="5">
        <f>IF(F947&lt;&gt;0, ((F947-G947)/F947)*100, 0)</f>
        <v>100</v>
      </c>
    </row>
    <row r="948" spans="1:9" customFormat="1" ht="14.5" x14ac:dyDescent="0.35">
      <c r="D948" s="10"/>
      <c r="F948" s="10"/>
      <c r="G948" s="10"/>
      <c r="H948" s="10"/>
      <c r="I948" s="10"/>
    </row>
    <row r="949" spans="1:9" x14ac:dyDescent="0.25">
      <c r="A949" s="2" t="s">
        <v>425</v>
      </c>
      <c r="B949" s="2" t="s">
        <v>426</v>
      </c>
      <c r="C949" s="2" t="s">
        <v>11</v>
      </c>
      <c r="E949" s="2" t="s">
        <v>11</v>
      </c>
      <c r="F949" s="6">
        <v>922136.4</v>
      </c>
      <c r="H949" s="6">
        <f>F949-G949</f>
        <v>922136.4</v>
      </c>
      <c r="I949" s="6">
        <f>IF(F949&lt;&gt;0, ((F949-G949)/F949)*100, 0)</f>
        <v>100</v>
      </c>
    </row>
    <row r="950" spans="1:9" x14ac:dyDescent="0.25">
      <c r="A950" s="2" t="s">
        <v>425</v>
      </c>
      <c r="B950" s="2" t="s">
        <v>426</v>
      </c>
      <c r="C950" s="2" t="s">
        <v>11</v>
      </c>
      <c r="E950" s="2" t="s">
        <v>11</v>
      </c>
      <c r="F950" s="6">
        <v>95089</v>
      </c>
      <c r="H950" s="6">
        <f>F950-G950</f>
        <v>95089</v>
      </c>
      <c r="I950" s="6">
        <f>IF(F950&lt;&gt;0, ((F950-G950)/F950)*100, 0)</f>
        <v>100</v>
      </c>
    </row>
    <row r="951" spans="1:9" customFormat="1" ht="14.5" x14ac:dyDescent="0.35">
      <c r="D951" s="10"/>
      <c r="F951" s="10"/>
      <c r="G951" s="10"/>
      <c r="H951" s="10"/>
      <c r="I951" s="10"/>
    </row>
    <row r="952" spans="1:9" s="4" customFormat="1" x14ac:dyDescent="0.25">
      <c r="A952" s="3" t="s">
        <v>11</v>
      </c>
      <c r="B952" s="3" t="s">
        <v>11</v>
      </c>
      <c r="C952" s="3" t="s">
        <v>11</v>
      </c>
      <c r="D952" s="5">
        <f>SUBTOTAL(9, D949:D951)</f>
        <v>0</v>
      </c>
      <c r="E952" s="3" t="s">
        <v>11</v>
      </c>
      <c r="F952" s="5">
        <f>SUBTOTAL(9, F949:F951)</f>
        <v>1017225.4</v>
      </c>
      <c r="G952" s="5">
        <f>SUBTOTAL(9, G949:G951)</f>
        <v>0</v>
      </c>
      <c r="H952" s="5">
        <f>SUBTOTAL(9, H949:H951)</f>
        <v>1017225.4</v>
      </c>
      <c r="I952" s="5">
        <f>IF(F952&lt;&gt;0, ((F952-G952)/F952)*100, 0)</f>
        <v>100</v>
      </c>
    </row>
    <row r="953" spans="1:9" customFormat="1" ht="14.5" x14ac:dyDescent="0.35">
      <c r="D953" s="10"/>
      <c r="F953" s="10"/>
      <c r="G953" s="10"/>
      <c r="H953" s="10"/>
      <c r="I953" s="10"/>
    </row>
    <row r="954" spans="1:9" x14ac:dyDescent="0.25">
      <c r="A954" s="2" t="s">
        <v>427</v>
      </c>
      <c r="B954" s="2" t="s">
        <v>428</v>
      </c>
      <c r="C954" s="2" t="s">
        <v>11</v>
      </c>
      <c r="E954" s="2" t="s">
        <v>11</v>
      </c>
      <c r="F954" s="6">
        <v>661698.69999999995</v>
      </c>
      <c r="H954" s="6">
        <f>F954-G954</f>
        <v>661698.69999999995</v>
      </c>
      <c r="I954" s="6">
        <f>IF(F954&lt;&gt;0, ((F954-G954)/F954)*100, 0)</f>
        <v>100</v>
      </c>
    </row>
    <row r="955" spans="1:9" x14ac:dyDescent="0.25">
      <c r="A955" s="2" t="s">
        <v>427</v>
      </c>
      <c r="B955" s="2" t="s">
        <v>428</v>
      </c>
      <c r="C955" s="2" t="s">
        <v>11</v>
      </c>
      <c r="E955" s="2" t="s">
        <v>11</v>
      </c>
      <c r="F955" s="6">
        <v>274119.21999999997</v>
      </c>
      <c r="H955" s="6">
        <f>F955-G955</f>
        <v>274119.21999999997</v>
      </c>
      <c r="I955" s="6">
        <f>IF(F955&lt;&gt;0, ((F955-G955)/F955)*100, 0)</f>
        <v>100</v>
      </c>
    </row>
    <row r="956" spans="1:9" customFormat="1" ht="14.5" x14ac:dyDescent="0.35">
      <c r="D956" s="10"/>
      <c r="F956" s="10"/>
      <c r="G956" s="10"/>
      <c r="H956" s="10"/>
      <c r="I956" s="10"/>
    </row>
    <row r="957" spans="1:9" s="4" customFormat="1" x14ac:dyDescent="0.25">
      <c r="A957" s="3" t="s">
        <v>11</v>
      </c>
      <c r="B957" s="3" t="s">
        <v>11</v>
      </c>
      <c r="C957" s="3" t="s">
        <v>11</v>
      </c>
      <c r="D957" s="5">
        <f>SUBTOTAL(9, D954:D956)</f>
        <v>0</v>
      </c>
      <c r="E957" s="3" t="s">
        <v>11</v>
      </c>
      <c r="F957" s="5">
        <f>SUBTOTAL(9, F954:F956)</f>
        <v>935817.91999999993</v>
      </c>
      <c r="G957" s="5">
        <f>SUBTOTAL(9, G954:G956)</f>
        <v>0</v>
      </c>
      <c r="H957" s="5">
        <f>SUBTOTAL(9, H954:H956)</f>
        <v>935817.91999999993</v>
      </c>
      <c r="I957" s="5">
        <f>IF(F957&lt;&gt;0, ((F957-G957)/F957)*100, 0)</f>
        <v>100</v>
      </c>
    </row>
    <row r="958" spans="1:9" customFormat="1" ht="14.5" x14ac:dyDescent="0.35">
      <c r="D958" s="10"/>
      <c r="F958" s="10"/>
      <c r="G958" s="10"/>
      <c r="H958" s="10"/>
      <c r="I958" s="10"/>
    </row>
    <row r="959" spans="1:9" x14ac:dyDescent="0.25">
      <c r="A959" s="2" t="s">
        <v>429</v>
      </c>
      <c r="B959" s="2" t="s">
        <v>430</v>
      </c>
      <c r="C959" s="2" t="s">
        <v>11</v>
      </c>
      <c r="E959" s="2" t="s">
        <v>11</v>
      </c>
      <c r="F959" s="6">
        <v>376734.82</v>
      </c>
      <c r="H959" s="6">
        <f>F959-G959</f>
        <v>376734.82</v>
      </c>
      <c r="I959" s="6">
        <f>IF(F959&lt;&gt;0, ((F959-G959)/F959)*100, 0)</f>
        <v>100</v>
      </c>
    </row>
    <row r="960" spans="1:9" customFormat="1" ht="14.5" x14ac:dyDescent="0.35">
      <c r="D960" s="10"/>
      <c r="F960" s="10"/>
      <c r="G960" s="10"/>
      <c r="H960" s="10"/>
      <c r="I960" s="10"/>
    </row>
    <row r="961" spans="1:9" s="4" customFormat="1" x14ac:dyDescent="0.25">
      <c r="A961" s="3" t="s">
        <v>11</v>
      </c>
      <c r="B961" s="3" t="s">
        <v>11</v>
      </c>
      <c r="C961" s="3" t="s">
        <v>11</v>
      </c>
      <c r="D961" s="5">
        <f>SUBTOTAL(9, D959:D960)</f>
        <v>0</v>
      </c>
      <c r="E961" s="3" t="s">
        <v>11</v>
      </c>
      <c r="F961" s="5">
        <f>SUBTOTAL(9, F959:F960)</f>
        <v>376734.82</v>
      </c>
      <c r="G961" s="5">
        <f>SUBTOTAL(9, G959:G960)</f>
        <v>0</v>
      </c>
      <c r="H961" s="5">
        <f>SUBTOTAL(9, H959:H960)</f>
        <v>376734.82</v>
      </c>
      <c r="I961" s="5">
        <f>IF(F961&lt;&gt;0, ((F961-G961)/F961)*100, 0)</f>
        <v>100</v>
      </c>
    </row>
    <row r="962" spans="1:9" customFormat="1" ht="14.5" x14ac:dyDescent="0.35">
      <c r="D962" s="10"/>
      <c r="F962" s="10"/>
      <c r="G962" s="10"/>
      <c r="H962" s="10"/>
      <c r="I962" s="10"/>
    </row>
    <row r="963" spans="1:9" x14ac:dyDescent="0.25">
      <c r="A963" s="2" t="s">
        <v>431</v>
      </c>
      <c r="B963" s="2" t="s">
        <v>432</v>
      </c>
      <c r="C963" s="2" t="s">
        <v>11</v>
      </c>
      <c r="E963" s="2" t="s">
        <v>11</v>
      </c>
      <c r="F963" s="6">
        <v>138000</v>
      </c>
      <c r="H963" s="6">
        <f>F963-G963</f>
        <v>138000</v>
      </c>
      <c r="I963" s="6">
        <f>IF(F963&lt;&gt;0, ((F963-G963)/F963)*100, 0)</f>
        <v>100</v>
      </c>
    </row>
    <row r="964" spans="1:9" customFormat="1" ht="14.5" x14ac:dyDescent="0.35">
      <c r="D964" s="10"/>
      <c r="F964" s="10"/>
      <c r="G964" s="10"/>
      <c r="H964" s="10"/>
      <c r="I964" s="10"/>
    </row>
    <row r="965" spans="1:9" s="4" customFormat="1" x14ac:dyDescent="0.25">
      <c r="A965" s="3" t="s">
        <v>11</v>
      </c>
      <c r="B965" s="3" t="s">
        <v>11</v>
      </c>
      <c r="C965" s="3" t="s">
        <v>11</v>
      </c>
      <c r="D965" s="5">
        <f>SUBTOTAL(9, D963:D964)</f>
        <v>0</v>
      </c>
      <c r="E965" s="3" t="s">
        <v>11</v>
      </c>
      <c r="F965" s="5">
        <f>SUBTOTAL(9, F963:F964)</f>
        <v>138000</v>
      </c>
      <c r="G965" s="5">
        <f>SUBTOTAL(9, G963:G964)</f>
        <v>0</v>
      </c>
      <c r="H965" s="5">
        <f>SUBTOTAL(9, H963:H964)</f>
        <v>138000</v>
      </c>
      <c r="I965" s="5">
        <f>IF(F965&lt;&gt;0, ((F965-G965)/F965)*100, 0)</f>
        <v>100</v>
      </c>
    </row>
    <row r="966" spans="1:9" customFormat="1" ht="14.5" x14ac:dyDescent="0.35">
      <c r="D966" s="10"/>
      <c r="F966" s="10"/>
      <c r="G966" s="10"/>
      <c r="H966" s="10"/>
      <c r="I966" s="10"/>
    </row>
    <row r="967" spans="1:9" x14ac:dyDescent="0.25">
      <c r="A967" s="2" t="s">
        <v>433</v>
      </c>
      <c r="B967" s="2" t="s">
        <v>434</v>
      </c>
      <c r="C967" s="2" t="s">
        <v>11</v>
      </c>
      <c r="E967" s="2" t="s">
        <v>11</v>
      </c>
      <c r="F967" s="6">
        <v>505675</v>
      </c>
      <c r="H967" s="6">
        <f>F967-G967</f>
        <v>505675</v>
      </c>
      <c r="I967" s="6">
        <f>IF(F967&lt;&gt;0, ((F967-G967)/F967)*100, 0)</f>
        <v>100</v>
      </c>
    </row>
    <row r="968" spans="1:9" x14ac:dyDescent="0.25">
      <c r="A968" s="2" t="s">
        <v>433</v>
      </c>
      <c r="B968" s="2" t="s">
        <v>434</v>
      </c>
      <c r="C968" s="2" t="s">
        <v>11</v>
      </c>
      <c r="E968" s="2" t="s">
        <v>11</v>
      </c>
      <c r="F968" s="6">
        <v>345180</v>
      </c>
      <c r="H968" s="6">
        <f>F968-G968</f>
        <v>345180</v>
      </c>
      <c r="I968" s="6">
        <f>IF(F968&lt;&gt;0, ((F968-G968)/F968)*100, 0)</f>
        <v>100</v>
      </c>
    </row>
    <row r="969" spans="1:9" x14ac:dyDescent="0.25">
      <c r="A969" s="2" t="s">
        <v>433</v>
      </c>
      <c r="B969" s="2" t="s">
        <v>434</v>
      </c>
      <c r="C969" s="2" t="s">
        <v>11</v>
      </c>
      <c r="E969" s="2" t="s">
        <v>11</v>
      </c>
      <c r="F969" s="6">
        <v>1225060</v>
      </c>
      <c r="H969" s="6">
        <f>F969-G969</f>
        <v>1225060</v>
      </c>
      <c r="I969" s="6">
        <f>IF(F969&lt;&gt;0, ((F969-G969)/F969)*100, 0)</f>
        <v>100</v>
      </c>
    </row>
    <row r="970" spans="1:9" x14ac:dyDescent="0.25">
      <c r="A970" s="2" t="s">
        <v>433</v>
      </c>
      <c r="B970" s="2" t="s">
        <v>434</v>
      </c>
      <c r="C970" s="2" t="s">
        <v>11</v>
      </c>
      <c r="E970" s="2" t="s">
        <v>11</v>
      </c>
      <c r="F970" s="6">
        <v>64900</v>
      </c>
      <c r="H970" s="6">
        <f>F970-G970</f>
        <v>64900</v>
      </c>
      <c r="I970" s="6">
        <f>IF(F970&lt;&gt;0, ((F970-G970)/F970)*100, 0)</f>
        <v>100</v>
      </c>
    </row>
    <row r="971" spans="1:9" customFormat="1" ht="14.5" x14ac:dyDescent="0.35">
      <c r="D971" s="10"/>
      <c r="F971" s="10"/>
      <c r="G971" s="10"/>
      <c r="H971" s="10"/>
      <c r="I971" s="10"/>
    </row>
    <row r="972" spans="1:9" s="4" customFormat="1" x14ac:dyDescent="0.25">
      <c r="A972" s="3" t="s">
        <v>11</v>
      </c>
      <c r="B972" s="3" t="s">
        <v>11</v>
      </c>
      <c r="C972" s="3" t="s">
        <v>11</v>
      </c>
      <c r="D972" s="5">
        <f>SUBTOTAL(9, D967:D971)</f>
        <v>0</v>
      </c>
      <c r="E972" s="3" t="s">
        <v>11</v>
      </c>
      <c r="F972" s="5">
        <f>SUBTOTAL(9, F967:F971)</f>
        <v>2140815</v>
      </c>
      <c r="G972" s="5">
        <f>SUBTOTAL(9, G967:G971)</f>
        <v>0</v>
      </c>
      <c r="H972" s="5">
        <f>SUBTOTAL(9, H967:H971)</f>
        <v>2140815</v>
      </c>
      <c r="I972" s="5">
        <f>IF(F972&lt;&gt;0, ((F972-G972)/F972)*100, 0)</f>
        <v>100</v>
      </c>
    </row>
    <row r="973" spans="1:9" customFormat="1" ht="14.5" x14ac:dyDescent="0.35">
      <c r="D973" s="10"/>
      <c r="F973" s="10"/>
      <c r="G973" s="10"/>
      <c r="H973" s="10"/>
      <c r="I973" s="10"/>
    </row>
    <row r="974" spans="1:9" x14ac:dyDescent="0.25">
      <c r="A974" s="2" t="s">
        <v>435</v>
      </c>
      <c r="B974" s="2" t="s">
        <v>436</v>
      </c>
      <c r="C974" s="2" t="s">
        <v>11</v>
      </c>
      <c r="E974" s="2" t="s">
        <v>11</v>
      </c>
      <c r="F974" s="6">
        <v>187700</v>
      </c>
      <c r="H974" s="6">
        <f>F974-G974</f>
        <v>187700</v>
      </c>
      <c r="I974" s="6">
        <f>IF(F974&lt;&gt;0, ((F974-G974)/F974)*100, 0)</f>
        <v>100</v>
      </c>
    </row>
    <row r="975" spans="1:9" customFormat="1" ht="14.5" x14ac:dyDescent="0.35">
      <c r="D975" s="10"/>
      <c r="F975" s="10"/>
      <c r="G975" s="10"/>
      <c r="H975" s="10"/>
      <c r="I975" s="10"/>
    </row>
    <row r="976" spans="1:9" s="4" customFormat="1" x14ac:dyDescent="0.25">
      <c r="A976" s="3" t="s">
        <v>11</v>
      </c>
      <c r="B976" s="3" t="s">
        <v>11</v>
      </c>
      <c r="C976" s="3" t="s">
        <v>11</v>
      </c>
      <c r="D976" s="5">
        <f>SUBTOTAL(9, D974:D975)</f>
        <v>0</v>
      </c>
      <c r="E976" s="3" t="s">
        <v>11</v>
      </c>
      <c r="F976" s="5">
        <f>SUBTOTAL(9, F974:F975)</f>
        <v>187700</v>
      </c>
      <c r="G976" s="5">
        <f>SUBTOTAL(9, G974:G975)</f>
        <v>0</v>
      </c>
      <c r="H976" s="5">
        <f>SUBTOTAL(9, H974:H975)</f>
        <v>187700</v>
      </c>
      <c r="I976" s="5">
        <f>IF(F976&lt;&gt;0, ((F976-G976)/F976)*100, 0)</f>
        <v>100</v>
      </c>
    </row>
    <row r="977" spans="1:9" customFormat="1" ht="14.5" x14ac:dyDescent="0.35">
      <c r="D977" s="10"/>
      <c r="F977" s="10"/>
      <c r="G977" s="10"/>
      <c r="H977" s="10"/>
      <c r="I977" s="10"/>
    </row>
    <row r="978" spans="1:9" x14ac:dyDescent="0.25">
      <c r="A978" s="2" t="s">
        <v>437</v>
      </c>
      <c r="B978" s="2" t="s">
        <v>438</v>
      </c>
      <c r="C978" s="2" t="s">
        <v>11</v>
      </c>
      <c r="E978" s="2" t="s">
        <v>11</v>
      </c>
      <c r="F978" s="6">
        <v>940456.29</v>
      </c>
      <c r="H978" s="6">
        <f>F978-G978</f>
        <v>940456.29</v>
      </c>
      <c r="I978" s="6">
        <f>IF(F978&lt;&gt;0, ((F978-G978)/F978)*100, 0)</f>
        <v>100</v>
      </c>
    </row>
    <row r="979" spans="1:9" customFormat="1" ht="14.5" x14ac:dyDescent="0.35">
      <c r="D979" s="10"/>
      <c r="F979" s="10"/>
      <c r="G979" s="10"/>
      <c r="H979" s="10"/>
      <c r="I979" s="10"/>
    </row>
    <row r="980" spans="1:9" s="4" customFormat="1" x14ac:dyDescent="0.25">
      <c r="A980" s="3" t="s">
        <v>11</v>
      </c>
      <c r="B980" s="3" t="s">
        <v>11</v>
      </c>
      <c r="C980" s="3" t="s">
        <v>11</v>
      </c>
      <c r="D980" s="5">
        <f>SUBTOTAL(9, D978:D979)</f>
        <v>0</v>
      </c>
      <c r="E980" s="3" t="s">
        <v>11</v>
      </c>
      <c r="F980" s="5">
        <f>SUBTOTAL(9, F978:F979)</f>
        <v>940456.29</v>
      </c>
      <c r="G980" s="5">
        <f>SUBTOTAL(9, G978:G979)</f>
        <v>0</v>
      </c>
      <c r="H980" s="5">
        <f>SUBTOTAL(9, H978:H979)</f>
        <v>940456.29</v>
      </c>
      <c r="I980" s="5">
        <f>IF(F980&lt;&gt;0, ((F980-G980)/F980)*100, 0)</f>
        <v>100</v>
      </c>
    </row>
    <row r="981" spans="1:9" customFormat="1" ht="14.5" x14ac:dyDescent="0.35">
      <c r="D981" s="10"/>
      <c r="F981" s="10"/>
      <c r="G981" s="10"/>
      <c r="H981" s="10"/>
      <c r="I981" s="10"/>
    </row>
    <row r="982" spans="1:9" x14ac:dyDescent="0.25">
      <c r="A982" s="2" t="s">
        <v>439</v>
      </c>
      <c r="B982" s="2" t="s">
        <v>440</v>
      </c>
      <c r="C982" s="2" t="s">
        <v>11</v>
      </c>
      <c r="E982" s="2" t="s">
        <v>11</v>
      </c>
      <c r="F982" s="6">
        <v>7800</v>
      </c>
      <c r="H982" s="6">
        <f>F982-G982</f>
        <v>7800</v>
      </c>
      <c r="I982" s="6">
        <f>IF(F982&lt;&gt;0, ((F982-G982)/F982)*100, 0)</f>
        <v>100</v>
      </c>
    </row>
    <row r="983" spans="1:9" customFormat="1" ht="14.5" x14ac:dyDescent="0.35">
      <c r="D983" s="10"/>
      <c r="F983" s="10"/>
      <c r="G983" s="10"/>
      <c r="H983" s="10"/>
      <c r="I983" s="10"/>
    </row>
    <row r="984" spans="1:9" s="4" customFormat="1" x14ac:dyDescent="0.25">
      <c r="A984" s="3" t="s">
        <v>11</v>
      </c>
      <c r="B984" s="3" t="s">
        <v>11</v>
      </c>
      <c r="C984" s="3" t="s">
        <v>11</v>
      </c>
      <c r="D984" s="5">
        <f>SUBTOTAL(9, D982:D983)</f>
        <v>0</v>
      </c>
      <c r="E984" s="3" t="s">
        <v>11</v>
      </c>
      <c r="F984" s="5">
        <f>SUBTOTAL(9, F982:F983)</f>
        <v>7800</v>
      </c>
      <c r="G984" s="5">
        <f>SUBTOTAL(9, G982:G983)</f>
        <v>0</v>
      </c>
      <c r="H984" s="5">
        <f>SUBTOTAL(9, H982:H983)</f>
        <v>7800</v>
      </c>
      <c r="I984" s="5">
        <f>IF(F984&lt;&gt;0, ((F984-G984)/F984)*100, 0)</f>
        <v>100</v>
      </c>
    </row>
    <row r="985" spans="1:9" customFormat="1" ht="14.5" x14ac:dyDescent="0.35">
      <c r="D985" s="10"/>
      <c r="F985" s="10"/>
      <c r="G985" s="10"/>
      <c r="H985" s="10"/>
      <c r="I985" s="10"/>
    </row>
    <row r="986" spans="1:9" x14ac:dyDescent="0.25">
      <c r="A986" s="2" t="s">
        <v>441</v>
      </c>
      <c r="B986" s="2" t="s">
        <v>442</v>
      </c>
      <c r="C986" s="2" t="s">
        <v>11</v>
      </c>
      <c r="E986" s="2" t="s">
        <v>11</v>
      </c>
      <c r="F986" s="6">
        <v>252750</v>
      </c>
      <c r="H986" s="6">
        <f>F986-G986</f>
        <v>252750</v>
      </c>
      <c r="I986" s="6">
        <f>IF(F986&lt;&gt;0, ((F986-G986)/F986)*100, 0)</f>
        <v>100</v>
      </c>
    </row>
    <row r="987" spans="1:9" x14ac:dyDescent="0.25">
      <c r="A987" s="2" t="s">
        <v>441</v>
      </c>
      <c r="B987" s="2" t="s">
        <v>442</v>
      </c>
      <c r="C987" s="2" t="s">
        <v>11</v>
      </c>
      <c r="E987" s="2" t="s">
        <v>11</v>
      </c>
      <c r="F987" s="6">
        <v>955500</v>
      </c>
      <c r="H987" s="6">
        <f>F987-G987</f>
        <v>955500</v>
      </c>
      <c r="I987" s="6">
        <f>IF(F987&lt;&gt;0, ((F987-G987)/F987)*100, 0)</f>
        <v>100</v>
      </c>
    </row>
    <row r="988" spans="1:9" x14ac:dyDescent="0.25">
      <c r="A988" s="2" t="s">
        <v>441</v>
      </c>
      <c r="B988" s="2" t="s">
        <v>442</v>
      </c>
      <c r="C988" s="2" t="s">
        <v>11</v>
      </c>
      <c r="E988" s="2" t="s">
        <v>11</v>
      </c>
      <c r="F988" s="6">
        <v>750</v>
      </c>
      <c r="H988" s="6">
        <f>F988-G988</f>
        <v>750</v>
      </c>
      <c r="I988" s="6">
        <f>IF(F988&lt;&gt;0, ((F988-G988)/F988)*100, 0)</f>
        <v>100</v>
      </c>
    </row>
    <row r="989" spans="1:9" x14ac:dyDescent="0.25">
      <c r="A989" s="2" t="s">
        <v>441</v>
      </c>
      <c r="B989" s="2" t="s">
        <v>442</v>
      </c>
      <c r="C989" s="2" t="s">
        <v>11</v>
      </c>
      <c r="E989" s="2" t="s">
        <v>11</v>
      </c>
      <c r="F989" s="6">
        <v>623250</v>
      </c>
      <c r="H989" s="6">
        <f>F989-G989</f>
        <v>623250</v>
      </c>
      <c r="I989" s="6">
        <f>IF(F989&lt;&gt;0, ((F989-G989)/F989)*100, 0)</f>
        <v>100</v>
      </c>
    </row>
    <row r="990" spans="1:9" x14ac:dyDescent="0.25">
      <c r="A990" s="2" t="s">
        <v>441</v>
      </c>
      <c r="B990" s="2" t="s">
        <v>442</v>
      </c>
      <c r="C990" s="2" t="s">
        <v>11</v>
      </c>
      <c r="E990" s="2" t="s">
        <v>11</v>
      </c>
      <c r="F990" s="6">
        <v>8250</v>
      </c>
      <c r="H990" s="6">
        <f>F990-G990</f>
        <v>8250</v>
      </c>
      <c r="I990" s="6">
        <f>IF(F990&lt;&gt;0, ((F990-G990)/F990)*100, 0)</f>
        <v>100</v>
      </c>
    </row>
    <row r="991" spans="1:9" customFormat="1" ht="14.5" x14ac:dyDescent="0.35">
      <c r="D991" s="10"/>
      <c r="F991" s="10"/>
      <c r="G991" s="10"/>
      <c r="H991" s="10"/>
      <c r="I991" s="10"/>
    </row>
    <row r="992" spans="1:9" s="4" customFormat="1" x14ac:dyDescent="0.25">
      <c r="A992" s="3" t="s">
        <v>11</v>
      </c>
      <c r="B992" s="3" t="s">
        <v>11</v>
      </c>
      <c r="C992" s="3" t="s">
        <v>11</v>
      </c>
      <c r="D992" s="5">
        <f>SUBTOTAL(9, D986:D991)</f>
        <v>0</v>
      </c>
      <c r="E992" s="3" t="s">
        <v>11</v>
      </c>
      <c r="F992" s="5">
        <f>SUBTOTAL(9, F986:F991)</f>
        <v>1840500</v>
      </c>
      <c r="G992" s="5">
        <f>SUBTOTAL(9, G986:G991)</f>
        <v>0</v>
      </c>
      <c r="H992" s="5">
        <f>SUBTOTAL(9, H986:H991)</f>
        <v>1840500</v>
      </c>
      <c r="I992" s="5">
        <f>IF(F992&lt;&gt;0, ((F992-G992)/F992)*100, 0)</f>
        <v>100</v>
      </c>
    </row>
    <row r="993" spans="1:9" customFormat="1" ht="14.5" x14ac:dyDescent="0.35">
      <c r="D993" s="10"/>
      <c r="F993" s="10"/>
      <c r="G993" s="10"/>
      <c r="H993" s="10"/>
      <c r="I993" s="10"/>
    </row>
    <row r="994" spans="1:9" x14ac:dyDescent="0.25">
      <c r="A994" s="2" t="s">
        <v>443</v>
      </c>
      <c r="B994" s="2" t="s">
        <v>444</v>
      </c>
      <c r="C994" s="2" t="s">
        <v>11</v>
      </c>
      <c r="E994" s="2" t="s">
        <v>11</v>
      </c>
      <c r="F994" s="6">
        <v>1500</v>
      </c>
      <c r="H994" s="6">
        <f>F994-G994</f>
        <v>1500</v>
      </c>
      <c r="I994" s="6">
        <f>IF(F994&lt;&gt;0, ((F994-G994)/F994)*100, 0)</f>
        <v>100</v>
      </c>
    </row>
    <row r="995" spans="1:9" customFormat="1" ht="14.5" x14ac:dyDescent="0.35">
      <c r="D995" s="10"/>
      <c r="F995" s="10"/>
      <c r="G995" s="10"/>
      <c r="H995" s="10"/>
      <c r="I995" s="10"/>
    </row>
    <row r="996" spans="1:9" s="4" customFormat="1" x14ac:dyDescent="0.25">
      <c r="A996" s="3" t="s">
        <v>11</v>
      </c>
      <c r="B996" s="3" t="s">
        <v>11</v>
      </c>
      <c r="C996" s="3" t="s">
        <v>11</v>
      </c>
      <c r="D996" s="5">
        <f>SUBTOTAL(9, D994:D995)</f>
        <v>0</v>
      </c>
      <c r="E996" s="3" t="s">
        <v>11</v>
      </c>
      <c r="F996" s="5">
        <f>SUBTOTAL(9, F994:F995)</f>
        <v>1500</v>
      </c>
      <c r="G996" s="5">
        <f>SUBTOTAL(9, G994:G995)</f>
        <v>0</v>
      </c>
      <c r="H996" s="5">
        <f>SUBTOTAL(9, H994:H995)</f>
        <v>1500</v>
      </c>
      <c r="I996" s="5">
        <f>IF(F996&lt;&gt;0, ((F996-G996)/F996)*100, 0)</f>
        <v>100</v>
      </c>
    </row>
    <row r="997" spans="1:9" customFormat="1" ht="14.5" x14ac:dyDescent="0.35">
      <c r="D997" s="10"/>
      <c r="F997" s="10"/>
      <c r="G997" s="10"/>
      <c r="H997" s="10"/>
      <c r="I997" s="10"/>
    </row>
    <row r="998" spans="1:9" x14ac:dyDescent="0.25">
      <c r="A998" s="2" t="s">
        <v>445</v>
      </c>
      <c r="B998" s="2" t="s">
        <v>446</v>
      </c>
      <c r="C998" s="2" t="s">
        <v>11</v>
      </c>
      <c r="E998" s="2" t="s">
        <v>11</v>
      </c>
      <c r="F998" s="6">
        <v>36000</v>
      </c>
      <c r="H998" s="6">
        <f>F998-G998</f>
        <v>36000</v>
      </c>
      <c r="I998" s="6">
        <f>IF(F998&lt;&gt;0, ((F998-G998)/F998)*100, 0)</f>
        <v>100</v>
      </c>
    </row>
    <row r="999" spans="1:9" x14ac:dyDescent="0.25">
      <c r="A999" s="2" t="s">
        <v>445</v>
      </c>
      <c r="B999" s="2" t="s">
        <v>446</v>
      </c>
      <c r="C999" s="2" t="s">
        <v>11</v>
      </c>
      <c r="E999" s="2" t="s">
        <v>11</v>
      </c>
      <c r="F999" s="6">
        <v>138000</v>
      </c>
      <c r="H999" s="6">
        <f>F999-G999</f>
        <v>138000</v>
      </c>
      <c r="I999" s="6">
        <f>IF(F999&lt;&gt;0, ((F999-G999)/F999)*100, 0)</f>
        <v>100</v>
      </c>
    </row>
    <row r="1000" spans="1:9" x14ac:dyDescent="0.25">
      <c r="A1000" s="2" t="s">
        <v>445</v>
      </c>
      <c r="B1000" s="2" t="s">
        <v>446</v>
      </c>
      <c r="C1000" s="2" t="s">
        <v>11</v>
      </c>
      <c r="E1000" s="2" t="s">
        <v>11</v>
      </c>
      <c r="F1000" s="6">
        <v>150000</v>
      </c>
      <c r="H1000" s="6">
        <f>F1000-G1000</f>
        <v>150000</v>
      </c>
      <c r="I1000" s="6">
        <f>IF(F1000&lt;&gt;0, ((F1000-G1000)/F1000)*100, 0)</f>
        <v>100</v>
      </c>
    </row>
    <row r="1001" spans="1:9" customFormat="1" ht="14.5" x14ac:dyDescent="0.35">
      <c r="D1001" s="10"/>
      <c r="F1001" s="10"/>
      <c r="G1001" s="10"/>
      <c r="H1001" s="10"/>
      <c r="I1001" s="10"/>
    </row>
    <row r="1002" spans="1:9" s="4" customFormat="1" x14ac:dyDescent="0.25">
      <c r="A1002" s="3" t="s">
        <v>11</v>
      </c>
      <c r="B1002" s="3" t="s">
        <v>11</v>
      </c>
      <c r="C1002" s="3" t="s">
        <v>11</v>
      </c>
      <c r="D1002" s="5">
        <f>SUBTOTAL(9, D998:D1001)</f>
        <v>0</v>
      </c>
      <c r="E1002" s="3" t="s">
        <v>11</v>
      </c>
      <c r="F1002" s="5">
        <f>SUBTOTAL(9, F998:F1001)</f>
        <v>324000</v>
      </c>
      <c r="G1002" s="5">
        <f>SUBTOTAL(9, G998:G1001)</f>
        <v>0</v>
      </c>
      <c r="H1002" s="5">
        <f>SUBTOTAL(9, H998:H1001)</f>
        <v>324000</v>
      </c>
      <c r="I1002" s="5">
        <f>IF(F1002&lt;&gt;0, ((F1002-G1002)/F1002)*100, 0)</f>
        <v>100</v>
      </c>
    </row>
    <row r="1003" spans="1:9" customFormat="1" ht="14.5" x14ac:dyDescent="0.35">
      <c r="D1003" s="10"/>
      <c r="F1003" s="10"/>
      <c r="G1003" s="10"/>
      <c r="H1003" s="10"/>
      <c r="I1003" s="10"/>
    </row>
    <row r="1004" spans="1:9" x14ac:dyDescent="0.25">
      <c r="A1004" s="2" t="s">
        <v>447</v>
      </c>
      <c r="B1004" s="2" t="s">
        <v>345</v>
      </c>
      <c r="C1004" s="2" t="s">
        <v>11</v>
      </c>
      <c r="E1004" s="2" t="s">
        <v>11</v>
      </c>
      <c r="F1004" s="6">
        <v>39750</v>
      </c>
      <c r="H1004" s="6">
        <f>F1004-G1004</f>
        <v>39750</v>
      </c>
      <c r="I1004" s="6">
        <f>IF(F1004&lt;&gt;0, ((F1004-G1004)/F1004)*100, 0)</f>
        <v>100</v>
      </c>
    </row>
    <row r="1005" spans="1:9" x14ac:dyDescent="0.25">
      <c r="A1005" s="2" t="s">
        <v>447</v>
      </c>
      <c r="B1005" s="2" t="s">
        <v>345</v>
      </c>
      <c r="C1005" s="2" t="s">
        <v>11</v>
      </c>
      <c r="E1005" s="2" t="s">
        <v>11</v>
      </c>
      <c r="F1005" s="6">
        <v>41250</v>
      </c>
      <c r="H1005" s="6">
        <f>F1005-G1005</f>
        <v>41250</v>
      </c>
      <c r="I1005" s="6">
        <f>IF(F1005&lt;&gt;0, ((F1005-G1005)/F1005)*100, 0)</f>
        <v>100</v>
      </c>
    </row>
    <row r="1006" spans="1:9" customFormat="1" ht="14.5" x14ac:dyDescent="0.35">
      <c r="D1006" s="10"/>
      <c r="F1006" s="10"/>
      <c r="G1006" s="10"/>
      <c r="H1006" s="10"/>
      <c r="I1006" s="10"/>
    </row>
    <row r="1007" spans="1:9" s="4" customFormat="1" x14ac:dyDescent="0.25">
      <c r="A1007" s="3" t="s">
        <v>11</v>
      </c>
      <c r="B1007" s="3" t="s">
        <v>11</v>
      </c>
      <c r="C1007" s="3" t="s">
        <v>11</v>
      </c>
      <c r="D1007" s="5">
        <f>SUBTOTAL(9, D1004:D1006)</f>
        <v>0</v>
      </c>
      <c r="E1007" s="3" t="s">
        <v>11</v>
      </c>
      <c r="F1007" s="5">
        <f>SUBTOTAL(9, F1004:F1006)</f>
        <v>81000</v>
      </c>
      <c r="G1007" s="5">
        <f>SUBTOTAL(9, G1004:G1006)</f>
        <v>0</v>
      </c>
      <c r="H1007" s="5">
        <f>SUBTOTAL(9, H1004:H1006)</f>
        <v>81000</v>
      </c>
      <c r="I1007" s="5">
        <f>IF(F1007&lt;&gt;0, ((F1007-G1007)/F1007)*100, 0)</f>
        <v>100</v>
      </c>
    </row>
    <row r="1008" spans="1:9" customFormat="1" ht="14.5" x14ac:dyDescent="0.35">
      <c r="D1008" s="10"/>
      <c r="F1008" s="10"/>
      <c r="G1008" s="10"/>
      <c r="H1008" s="10"/>
      <c r="I1008" s="10"/>
    </row>
    <row r="1009" spans="1:9" x14ac:dyDescent="0.25">
      <c r="A1009" s="2" t="s">
        <v>448</v>
      </c>
      <c r="B1009" s="2" t="s">
        <v>449</v>
      </c>
      <c r="C1009" s="2" t="s">
        <v>11</v>
      </c>
      <c r="E1009" s="2" t="s">
        <v>11</v>
      </c>
      <c r="F1009" s="6">
        <v>323548</v>
      </c>
      <c r="H1009" s="6">
        <f>F1009-G1009</f>
        <v>323548</v>
      </c>
      <c r="I1009" s="6">
        <f>IF(F1009&lt;&gt;0, ((F1009-G1009)/F1009)*100, 0)</f>
        <v>100</v>
      </c>
    </row>
    <row r="1010" spans="1:9" x14ac:dyDescent="0.25">
      <c r="A1010" s="2" t="s">
        <v>448</v>
      </c>
      <c r="B1010" s="2" t="s">
        <v>449</v>
      </c>
      <c r="C1010" s="2" t="s">
        <v>11</v>
      </c>
      <c r="E1010" s="2" t="s">
        <v>11</v>
      </c>
      <c r="F1010" s="6">
        <v>127500</v>
      </c>
      <c r="H1010" s="6">
        <f>F1010-G1010</f>
        <v>127500</v>
      </c>
      <c r="I1010" s="6">
        <f>IF(F1010&lt;&gt;0, ((F1010-G1010)/F1010)*100, 0)</f>
        <v>100</v>
      </c>
    </row>
    <row r="1011" spans="1:9" x14ac:dyDescent="0.25">
      <c r="A1011" s="2" t="s">
        <v>448</v>
      </c>
      <c r="B1011" s="2" t="s">
        <v>449</v>
      </c>
      <c r="C1011" s="2" t="s">
        <v>11</v>
      </c>
      <c r="E1011" s="2" t="s">
        <v>11</v>
      </c>
      <c r="F1011" s="6">
        <v>33000</v>
      </c>
      <c r="H1011" s="6">
        <f>F1011-G1011</f>
        <v>33000</v>
      </c>
      <c r="I1011" s="6">
        <f>IF(F1011&lt;&gt;0, ((F1011-G1011)/F1011)*100, 0)</f>
        <v>100</v>
      </c>
    </row>
    <row r="1012" spans="1:9" x14ac:dyDescent="0.25">
      <c r="A1012" s="2" t="s">
        <v>448</v>
      </c>
      <c r="B1012" s="2" t="s">
        <v>449</v>
      </c>
      <c r="C1012" s="2" t="s">
        <v>11</v>
      </c>
      <c r="E1012" s="2" t="s">
        <v>11</v>
      </c>
      <c r="F1012" s="6">
        <v>71250</v>
      </c>
      <c r="H1012" s="6">
        <f>F1012-G1012</f>
        <v>71250</v>
      </c>
      <c r="I1012" s="6">
        <f>IF(F1012&lt;&gt;0, ((F1012-G1012)/F1012)*100, 0)</f>
        <v>100</v>
      </c>
    </row>
    <row r="1013" spans="1:9" customFormat="1" ht="14.5" x14ac:dyDescent="0.35">
      <c r="D1013" s="10"/>
      <c r="F1013" s="10"/>
      <c r="G1013" s="10"/>
      <c r="H1013" s="10"/>
      <c r="I1013" s="10"/>
    </row>
    <row r="1014" spans="1:9" s="4" customFormat="1" x14ac:dyDescent="0.25">
      <c r="A1014" s="3" t="s">
        <v>11</v>
      </c>
      <c r="B1014" s="3" t="s">
        <v>11</v>
      </c>
      <c r="C1014" s="3" t="s">
        <v>11</v>
      </c>
      <c r="D1014" s="5">
        <f>SUBTOTAL(9, D1009:D1013)</f>
        <v>0</v>
      </c>
      <c r="E1014" s="3" t="s">
        <v>11</v>
      </c>
      <c r="F1014" s="5">
        <f>SUBTOTAL(9, F1009:F1013)</f>
        <v>555298</v>
      </c>
      <c r="G1014" s="5">
        <f>SUBTOTAL(9, G1009:G1013)</f>
        <v>0</v>
      </c>
      <c r="H1014" s="5">
        <f>SUBTOTAL(9, H1009:H1013)</f>
        <v>555298</v>
      </c>
      <c r="I1014" s="5">
        <f>IF(F1014&lt;&gt;0, ((F1014-G1014)/F1014)*100, 0)</f>
        <v>100</v>
      </c>
    </row>
    <row r="1015" spans="1:9" customFormat="1" ht="14.5" x14ac:dyDescent="0.35">
      <c r="D1015" s="10"/>
      <c r="F1015" s="10"/>
      <c r="G1015" s="10"/>
      <c r="H1015" s="10"/>
      <c r="I1015" s="10"/>
    </row>
    <row r="1016" spans="1:9" x14ac:dyDescent="0.25">
      <c r="A1016" s="2" t="s">
        <v>450</v>
      </c>
      <c r="B1016" s="2" t="s">
        <v>451</v>
      </c>
      <c r="C1016" s="2" t="s">
        <v>11</v>
      </c>
      <c r="E1016" s="2" t="s">
        <v>11</v>
      </c>
      <c r="F1016" s="6">
        <v>750</v>
      </c>
      <c r="H1016" s="6">
        <f>F1016-G1016</f>
        <v>750</v>
      </c>
      <c r="I1016" s="6">
        <f>IF(F1016&lt;&gt;0, ((F1016-G1016)/F1016)*100, 0)</f>
        <v>100</v>
      </c>
    </row>
    <row r="1017" spans="1:9" x14ac:dyDescent="0.25">
      <c r="A1017" s="2" t="s">
        <v>450</v>
      </c>
      <c r="B1017" s="2" t="s">
        <v>451</v>
      </c>
      <c r="C1017" s="2" t="s">
        <v>11</v>
      </c>
      <c r="E1017" s="2" t="s">
        <v>11</v>
      </c>
      <c r="F1017" s="6">
        <v>1500</v>
      </c>
      <c r="H1017" s="6">
        <f>F1017-G1017</f>
        <v>1500</v>
      </c>
      <c r="I1017" s="6">
        <f>IF(F1017&lt;&gt;0, ((F1017-G1017)/F1017)*100, 0)</f>
        <v>100</v>
      </c>
    </row>
    <row r="1018" spans="1:9" x14ac:dyDescent="0.25">
      <c r="A1018" s="2" t="s">
        <v>450</v>
      </c>
      <c r="B1018" s="2" t="s">
        <v>451</v>
      </c>
      <c r="C1018" s="2" t="s">
        <v>11</v>
      </c>
      <c r="E1018" s="2" t="s">
        <v>11</v>
      </c>
      <c r="F1018" s="6">
        <v>7500</v>
      </c>
      <c r="H1018" s="6">
        <f>F1018-G1018</f>
        <v>7500</v>
      </c>
      <c r="I1018" s="6">
        <f>IF(F1018&lt;&gt;0, ((F1018-G1018)/F1018)*100, 0)</f>
        <v>100</v>
      </c>
    </row>
    <row r="1019" spans="1:9" x14ac:dyDescent="0.25">
      <c r="A1019" s="2" t="s">
        <v>450</v>
      </c>
      <c r="B1019" s="2" t="s">
        <v>451</v>
      </c>
      <c r="C1019" s="2" t="s">
        <v>11</v>
      </c>
      <c r="E1019" s="2" t="s">
        <v>11</v>
      </c>
      <c r="F1019" s="6">
        <v>750</v>
      </c>
      <c r="H1019" s="6">
        <f>F1019-G1019</f>
        <v>750</v>
      </c>
      <c r="I1019" s="6">
        <f>IF(F1019&lt;&gt;0, ((F1019-G1019)/F1019)*100, 0)</f>
        <v>100</v>
      </c>
    </row>
    <row r="1020" spans="1:9" customFormat="1" ht="14.5" x14ac:dyDescent="0.35">
      <c r="D1020" s="10"/>
      <c r="F1020" s="10"/>
      <c r="G1020" s="10"/>
      <c r="H1020" s="10"/>
      <c r="I1020" s="10"/>
    </row>
    <row r="1021" spans="1:9" s="4" customFormat="1" x14ac:dyDescent="0.25">
      <c r="A1021" s="3" t="s">
        <v>11</v>
      </c>
      <c r="B1021" s="3" t="s">
        <v>11</v>
      </c>
      <c r="C1021" s="3" t="s">
        <v>11</v>
      </c>
      <c r="D1021" s="5">
        <f>SUBTOTAL(9, D1016:D1020)</f>
        <v>0</v>
      </c>
      <c r="E1021" s="3" t="s">
        <v>11</v>
      </c>
      <c r="F1021" s="5">
        <f>SUBTOTAL(9, F1016:F1020)</f>
        <v>10500</v>
      </c>
      <c r="G1021" s="5">
        <f>SUBTOTAL(9, G1016:G1020)</f>
        <v>0</v>
      </c>
      <c r="H1021" s="5">
        <f>SUBTOTAL(9, H1016:H1020)</f>
        <v>10500</v>
      </c>
      <c r="I1021" s="5">
        <f>IF(F1021&lt;&gt;0, ((F1021-G1021)/F1021)*100, 0)</f>
        <v>100</v>
      </c>
    </row>
    <row r="1022" spans="1:9" customFormat="1" ht="14.5" x14ac:dyDescent="0.35">
      <c r="D1022" s="10"/>
      <c r="F1022" s="10"/>
      <c r="G1022" s="10"/>
      <c r="H1022" s="10"/>
      <c r="I1022" s="10"/>
    </row>
    <row r="1023" spans="1:9" x14ac:dyDescent="0.25">
      <c r="A1023" s="2" t="s">
        <v>452</v>
      </c>
      <c r="B1023" s="2" t="s">
        <v>453</v>
      </c>
      <c r="C1023" s="2" t="s">
        <v>11</v>
      </c>
      <c r="E1023" s="2" t="s">
        <v>11</v>
      </c>
      <c r="F1023" s="6">
        <v>54000</v>
      </c>
      <c r="H1023" s="6">
        <f>F1023-G1023</f>
        <v>54000</v>
      </c>
      <c r="I1023" s="6">
        <f>IF(F1023&lt;&gt;0, ((F1023-G1023)/F1023)*100, 0)</f>
        <v>100</v>
      </c>
    </row>
    <row r="1024" spans="1:9" customFormat="1" ht="14.5" x14ac:dyDescent="0.35">
      <c r="D1024" s="10"/>
      <c r="F1024" s="10"/>
      <c r="G1024" s="10"/>
      <c r="H1024" s="10"/>
      <c r="I1024" s="10"/>
    </row>
    <row r="1025" spans="1:9" s="4" customFormat="1" x14ac:dyDescent="0.25">
      <c r="A1025" s="3" t="s">
        <v>11</v>
      </c>
      <c r="B1025" s="3" t="s">
        <v>11</v>
      </c>
      <c r="C1025" s="3" t="s">
        <v>11</v>
      </c>
      <c r="D1025" s="5">
        <f>SUBTOTAL(9, D1023:D1024)</f>
        <v>0</v>
      </c>
      <c r="E1025" s="3" t="s">
        <v>11</v>
      </c>
      <c r="F1025" s="5">
        <f>SUBTOTAL(9, F1023:F1024)</f>
        <v>54000</v>
      </c>
      <c r="G1025" s="5">
        <f>SUBTOTAL(9, G1023:G1024)</f>
        <v>0</v>
      </c>
      <c r="H1025" s="5">
        <f>SUBTOTAL(9, H1023:H1024)</f>
        <v>54000</v>
      </c>
      <c r="I1025" s="5">
        <f>IF(F1025&lt;&gt;0, ((F1025-G1025)/F1025)*100, 0)</f>
        <v>100</v>
      </c>
    </row>
    <row r="1026" spans="1:9" customFormat="1" ht="14.5" x14ac:dyDescent="0.35">
      <c r="D1026" s="10"/>
      <c r="F1026" s="10"/>
      <c r="G1026" s="10"/>
      <c r="H1026" s="10"/>
      <c r="I1026" s="10"/>
    </row>
    <row r="1027" spans="1:9" x14ac:dyDescent="0.25">
      <c r="A1027" s="2" t="s">
        <v>454</v>
      </c>
      <c r="B1027" s="2" t="s">
        <v>455</v>
      </c>
      <c r="C1027" s="2" t="s">
        <v>11</v>
      </c>
      <c r="E1027" s="2" t="s">
        <v>11</v>
      </c>
      <c r="F1027" s="6">
        <v>199800</v>
      </c>
      <c r="H1027" s="6">
        <f>F1027-G1027</f>
        <v>199800</v>
      </c>
      <c r="I1027" s="6">
        <f>IF(F1027&lt;&gt;0, ((F1027-G1027)/F1027)*100, 0)</f>
        <v>100</v>
      </c>
    </row>
    <row r="1028" spans="1:9" x14ac:dyDescent="0.25">
      <c r="A1028" s="2" t="s">
        <v>454</v>
      </c>
      <c r="B1028" s="2" t="s">
        <v>455</v>
      </c>
      <c r="C1028" s="2" t="s">
        <v>11</v>
      </c>
      <c r="E1028" s="2" t="s">
        <v>11</v>
      </c>
      <c r="F1028" s="6">
        <v>210000</v>
      </c>
      <c r="H1028" s="6">
        <f>F1028-G1028</f>
        <v>210000</v>
      </c>
      <c r="I1028" s="6">
        <f>IF(F1028&lt;&gt;0, ((F1028-G1028)/F1028)*100, 0)</f>
        <v>100</v>
      </c>
    </row>
    <row r="1029" spans="1:9" x14ac:dyDescent="0.25">
      <c r="A1029" s="2" t="s">
        <v>454</v>
      </c>
      <c r="B1029" s="2" t="s">
        <v>455</v>
      </c>
      <c r="C1029" s="2" t="s">
        <v>11</v>
      </c>
      <c r="E1029" s="2" t="s">
        <v>11</v>
      </c>
      <c r="F1029" s="6">
        <v>3000</v>
      </c>
      <c r="H1029" s="6">
        <f>F1029-G1029</f>
        <v>3000</v>
      </c>
      <c r="I1029" s="6">
        <f>IF(F1029&lt;&gt;0, ((F1029-G1029)/F1029)*100, 0)</f>
        <v>100</v>
      </c>
    </row>
    <row r="1030" spans="1:9" customFormat="1" ht="14.5" x14ac:dyDescent="0.35">
      <c r="D1030" s="10"/>
      <c r="F1030" s="10"/>
      <c r="G1030" s="10"/>
      <c r="H1030" s="10"/>
      <c r="I1030" s="10"/>
    </row>
    <row r="1031" spans="1:9" s="4" customFormat="1" x14ac:dyDescent="0.25">
      <c r="A1031" s="3" t="s">
        <v>11</v>
      </c>
      <c r="B1031" s="3" t="s">
        <v>11</v>
      </c>
      <c r="C1031" s="3" t="s">
        <v>11</v>
      </c>
      <c r="D1031" s="5">
        <f>SUBTOTAL(9, D1027:D1030)</f>
        <v>0</v>
      </c>
      <c r="E1031" s="3" t="s">
        <v>11</v>
      </c>
      <c r="F1031" s="5">
        <f>SUBTOTAL(9, F1027:F1030)</f>
        <v>412800</v>
      </c>
      <c r="G1031" s="5">
        <f>SUBTOTAL(9, G1027:G1030)</f>
        <v>0</v>
      </c>
      <c r="H1031" s="5">
        <f>SUBTOTAL(9, H1027:H1030)</f>
        <v>412800</v>
      </c>
      <c r="I1031" s="5">
        <f>IF(F1031&lt;&gt;0, ((F1031-G1031)/F1031)*100, 0)</f>
        <v>100</v>
      </c>
    </row>
    <row r="1032" spans="1:9" customFormat="1" ht="14.5" x14ac:dyDescent="0.35">
      <c r="D1032" s="10"/>
      <c r="F1032" s="10"/>
      <c r="G1032" s="10"/>
      <c r="H1032" s="10"/>
      <c r="I1032" s="10"/>
    </row>
    <row r="1033" spans="1:9" x14ac:dyDescent="0.25">
      <c r="A1033" s="2" t="s">
        <v>456</v>
      </c>
      <c r="B1033" s="2" t="s">
        <v>457</v>
      </c>
      <c r="C1033" s="2" t="s">
        <v>11</v>
      </c>
      <c r="E1033" s="2" t="s">
        <v>11</v>
      </c>
      <c r="F1033" s="6">
        <v>143250</v>
      </c>
      <c r="H1033" s="6">
        <f>F1033-G1033</f>
        <v>143250</v>
      </c>
      <c r="I1033" s="6">
        <f>IF(F1033&lt;&gt;0, ((F1033-G1033)/F1033)*100, 0)</f>
        <v>100</v>
      </c>
    </row>
    <row r="1034" spans="1:9" x14ac:dyDescent="0.25">
      <c r="A1034" s="2" t="s">
        <v>456</v>
      </c>
      <c r="B1034" s="2" t="s">
        <v>457</v>
      </c>
      <c r="C1034" s="2" t="s">
        <v>11</v>
      </c>
      <c r="E1034" s="2" t="s">
        <v>11</v>
      </c>
      <c r="F1034" s="6">
        <v>105000</v>
      </c>
      <c r="H1034" s="6">
        <f>F1034-G1034</f>
        <v>105000</v>
      </c>
      <c r="I1034" s="6">
        <f>IF(F1034&lt;&gt;0, ((F1034-G1034)/F1034)*100, 0)</f>
        <v>100</v>
      </c>
    </row>
    <row r="1035" spans="1:9" x14ac:dyDescent="0.25">
      <c r="A1035" s="2" t="s">
        <v>456</v>
      </c>
      <c r="B1035" s="2" t="s">
        <v>457</v>
      </c>
      <c r="C1035" s="2" t="s">
        <v>11</v>
      </c>
      <c r="E1035" s="2" t="s">
        <v>11</v>
      </c>
      <c r="F1035" s="6">
        <v>3000</v>
      </c>
      <c r="H1035" s="6">
        <f>F1035-G1035</f>
        <v>3000</v>
      </c>
      <c r="I1035" s="6">
        <f>IF(F1035&lt;&gt;0, ((F1035-G1035)/F1035)*100, 0)</f>
        <v>100</v>
      </c>
    </row>
    <row r="1036" spans="1:9" x14ac:dyDescent="0.25">
      <c r="A1036" s="2" t="s">
        <v>456</v>
      </c>
      <c r="B1036" s="2" t="s">
        <v>457</v>
      </c>
      <c r="C1036" s="2" t="s">
        <v>11</v>
      </c>
      <c r="E1036" s="2" t="s">
        <v>11</v>
      </c>
      <c r="F1036" s="6">
        <v>11250</v>
      </c>
      <c r="H1036" s="6">
        <f>F1036-G1036</f>
        <v>11250</v>
      </c>
      <c r="I1036" s="6">
        <f>IF(F1036&lt;&gt;0, ((F1036-G1036)/F1036)*100, 0)</f>
        <v>100</v>
      </c>
    </row>
    <row r="1037" spans="1:9" x14ac:dyDescent="0.25">
      <c r="A1037" s="2" t="s">
        <v>456</v>
      </c>
      <c r="B1037" s="2" t="s">
        <v>457</v>
      </c>
      <c r="C1037" s="2" t="s">
        <v>11</v>
      </c>
      <c r="E1037" s="2" t="s">
        <v>11</v>
      </c>
      <c r="F1037" s="6">
        <v>3750</v>
      </c>
      <c r="H1037" s="6">
        <f>F1037-G1037</f>
        <v>3750</v>
      </c>
      <c r="I1037" s="6">
        <f>IF(F1037&lt;&gt;0, ((F1037-G1037)/F1037)*100, 0)</f>
        <v>100</v>
      </c>
    </row>
    <row r="1038" spans="1:9" customFormat="1" ht="14.5" x14ac:dyDescent="0.35">
      <c r="D1038" s="10"/>
      <c r="F1038" s="10"/>
      <c r="G1038" s="10"/>
      <c r="H1038" s="10"/>
      <c r="I1038" s="10"/>
    </row>
    <row r="1039" spans="1:9" s="4" customFormat="1" x14ac:dyDescent="0.25">
      <c r="A1039" s="3" t="s">
        <v>11</v>
      </c>
      <c r="B1039" s="3" t="s">
        <v>11</v>
      </c>
      <c r="C1039" s="3" t="s">
        <v>11</v>
      </c>
      <c r="D1039" s="5">
        <f>SUBTOTAL(9, D1033:D1038)</f>
        <v>0</v>
      </c>
      <c r="E1039" s="3" t="s">
        <v>11</v>
      </c>
      <c r="F1039" s="5">
        <f>SUBTOTAL(9, F1033:F1038)</f>
        <v>266250</v>
      </c>
      <c r="G1039" s="5">
        <f>SUBTOTAL(9, G1033:G1038)</f>
        <v>0</v>
      </c>
      <c r="H1039" s="5">
        <f>SUBTOTAL(9, H1033:H1038)</f>
        <v>266250</v>
      </c>
      <c r="I1039" s="5">
        <f>IF(F1039&lt;&gt;0, ((F1039-G1039)/F1039)*100, 0)</f>
        <v>100</v>
      </c>
    </row>
    <row r="1040" spans="1:9" customFormat="1" ht="14.5" x14ac:dyDescent="0.35">
      <c r="D1040" s="10"/>
      <c r="F1040" s="10"/>
      <c r="G1040" s="10"/>
      <c r="H1040" s="10"/>
      <c r="I1040" s="10"/>
    </row>
    <row r="1041" spans="1:9" x14ac:dyDescent="0.25">
      <c r="A1041" s="2" t="s">
        <v>458</v>
      </c>
      <c r="B1041" s="2" t="s">
        <v>459</v>
      </c>
      <c r="C1041" s="2" t="s">
        <v>11</v>
      </c>
      <c r="E1041" s="2" t="s">
        <v>11</v>
      </c>
      <c r="F1041" s="6">
        <v>1500</v>
      </c>
      <c r="H1041" s="6">
        <f>F1041-G1041</f>
        <v>1500</v>
      </c>
      <c r="I1041" s="6">
        <f>IF(F1041&lt;&gt;0, ((F1041-G1041)/F1041)*100, 0)</f>
        <v>100</v>
      </c>
    </row>
    <row r="1042" spans="1:9" x14ac:dyDescent="0.25">
      <c r="A1042" s="2" t="s">
        <v>458</v>
      </c>
      <c r="B1042" s="2" t="s">
        <v>459</v>
      </c>
      <c r="C1042" s="2" t="s">
        <v>11</v>
      </c>
      <c r="E1042" s="2" t="s">
        <v>11</v>
      </c>
      <c r="F1042" s="6">
        <v>15000</v>
      </c>
      <c r="H1042" s="6">
        <f>F1042-G1042</f>
        <v>15000</v>
      </c>
      <c r="I1042" s="6">
        <f>IF(F1042&lt;&gt;0, ((F1042-G1042)/F1042)*100, 0)</f>
        <v>100</v>
      </c>
    </row>
    <row r="1043" spans="1:9" x14ac:dyDescent="0.25">
      <c r="A1043" s="2" t="s">
        <v>458</v>
      </c>
      <c r="B1043" s="2" t="s">
        <v>459</v>
      </c>
      <c r="C1043" s="2" t="s">
        <v>11</v>
      </c>
      <c r="E1043" s="2" t="s">
        <v>11</v>
      </c>
      <c r="F1043" s="6">
        <v>1500</v>
      </c>
      <c r="H1043" s="6">
        <f>F1043-G1043</f>
        <v>1500</v>
      </c>
      <c r="I1043" s="6">
        <f>IF(F1043&lt;&gt;0, ((F1043-G1043)/F1043)*100, 0)</f>
        <v>100</v>
      </c>
    </row>
    <row r="1044" spans="1:9" customFormat="1" ht="14.5" x14ac:dyDescent="0.35">
      <c r="D1044" s="10"/>
      <c r="F1044" s="10"/>
      <c r="G1044" s="10"/>
      <c r="H1044" s="10"/>
      <c r="I1044" s="10"/>
    </row>
    <row r="1045" spans="1:9" s="4" customFormat="1" x14ac:dyDescent="0.25">
      <c r="A1045" s="3" t="s">
        <v>11</v>
      </c>
      <c r="B1045" s="3" t="s">
        <v>11</v>
      </c>
      <c r="C1045" s="3" t="s">
        <v>11</v>
      </c>
      <c r="D1045" s="5">
        <f>SUBTOTAL(9, D1041:D1044)</f>
        <v>0</v>
      </c>
      <c r="E1045" s="3" t="s">
        <v>11</v>
      </c>
      <c r="F1045" s="5">
        <f>SUBTOTAL(9, F1041:F1044)</f>
        <v>18000</v>
      </c>
      <c r="G1045" s="5">
        <f>SUBTOTAL(9, G1041:G1044)</f>
        <v>0</v>
      </c>
      <c r="H1045" s="5">
        <f>SUBTOTAL(9, H1041:H1044)</f>
        <v>18000</v>
      </c>
      <c r="I1045" s="5">
        <f>IF(F1045&lt;&gt;0, ((F1045-G1045)/F1045)*100, 0)</f>
        <v>100</v>
      </c>
    </row>
    <row r="1046" spans="1:9" customFormat="1" ht="14.5" x14ac:dyDescent="0.35">
      <c r="D1046" s="10"/>
      <c r="F1046" s="10"/>
      <c r="G1046" s="10"/>
      <c r="H1046" s="10"/>
      <c r="I1046" s="10"/>
    </row>
    <row r="1047" spans="1:9" x14ac:dyDescent="0.25">
      <c r="A1047" s="2" t="s">
        <v>460</v>
      </c>
      <c r="B1047" s="2" t="s">
        <v>461</v>
      </c>
      <c r="C1047" s="2" t="s">
        <v>11</v>
      </c>
      <c r="E1047" s="2" t="s">
        <v>11</v>
      </c>
      <c r="F1047" s="6">
        <v>44100</v>
      </c>
      <c r="H1047" s="6">
        <f>F1047-G1047</f>
        <v>44100</v>
      </c>
      <c r="I1047" s="6">
        <f>IF(F1047&lt;&gt;0, ((F1047-G1047)/F1047)*100, 0)</f>
        <v>100</v>
      </c>
    </row>
    <row r="1048" spans="1:9" x14ac:dyDescent="0.25">
      <c r="A1048" s="2" t="s">
        <v>460</v>
      </c>
      <c r="B1048" s="2" t="s">
        <v>461</v>
      </c>
      <c r="C1048" s="2" t="s">
        <v>11</v>
      </c>
      <c r="E1048" s="2" t="s">
        <v>11</v>
      </c>
      <c r="F1048" s="6">
        <v>52750</v>
      </c>
      <c r="H1048" s="6">
        <f>F1048-G1048</f>
        <v>52750</v>
      </c>
      <c r="I1048" s="6">
        <f>IF(F1048&lt;&gt;0, ((F1048-G1048)/F1048)*100, 0)</f>
        <v>100</v>
      </c>
    </row>
    <row r="1049" spans="1:9" customFormat="1" ht="14.5" x14ac:dyDescent="0.35">
      <c r="D1049" s="10"/>
      <c r="F1049" s="10"/>
      <c r="G1049" s="10"/>
      <c r="H1049" s="10"/>
      <c r="I1049" s="10"/>
    </row>
    <row r="1050" spans="1:9" s="4" customFormat="1" x14ac:dyDescent="0.25">
      <c r="A1050" s="3" t="s">
        <v>11</v>
      </c>
      <c r="B1050" s="3" t="s">
        <v>11</v>
      </c>
      <c r="C1050" s="3" t="s">
        <v>11</v>
      </c>
      <c r="D1050" s="5">
        <f>SUBTOTAL(9, D1047:D1049)</f>
        <v>0</v>
      </c>
      <c r="E1050" s="3" t="s">
        <v>11</v>
      </c>
      <c r="F1050" s="5">
        <f>SUBTOTAL(9, F1047:F1049)</f>
        <v>96850</v>
      </c>
      <c r="G1050" s="5">
        <f>SUBTOTAL(9, G1047:G1049)</f>
        <v>0</v>
      </c>
      <c r="H1050" s="5">
        <f>SUBTOTAL(9, H1047:H1049)</f>
        <v>96850</v>
      </c>
      <c r="I1050" s="5">
        <f>IF(F1050&lt;&gt;0, ((F1050-G1050)/F1050)*100, 0)</f>
        <v>100</v>
      </c>
    </row>
    <row r="1051" spans="1:9" customFormat="1" ht="14.5" x14ac:dyDescent="0.35">
      <c r="D1051" s="10"/>
      <c r="F1051" s="10"/>
      <c r="G1051" s="10"/>
      <c r="H1051" s="10"/>
      <c r="I1051" s="10"/>
    </row>
    <row r="1052" spans="1:9" x14ac:dyDescent="0.25">
      <c r="A1052" s="2" t="s">
        <v>462</v>
      </c>
      <c r="B1052" s="2" t="s">
        <v>463</v>
      </c>
      <c r="C1052" s="2" t="s">
        <v>11</v>
      </c>
      <c r="E1052" s="2" t="s">
        <v>11</v>
      </c>
      <c r="F1052" s="6">
        <v>379350</v>
      </c>
      <c r="H1052" s="6">
        <f>F1052-G1052</f>
        <v>379350</v>
      </c>
      <c r="I1052" s="6">
        <f>IF(F1052&lt;&gt;0, ((F1052-G1052)/F1052)*100, 0)</f>
        <v>100</v>
      </c>
    </row>
    <row r="1053" spans="1:9" x14ac:dyDescent="0.25">
      <c r="A1053" s="2" t="s">
        <v>462</v>
      </c>
      <c r="B1053" s="2" t="s">
        <v>463</v>
      </c>
      <c r="C1053" s="2" t="s">
        <v>11</v>
      </c>
      <c r="E1053" s="2" t="s">
        <v>11</v>
      </c>
      <c r="F1053" s="6">
        <v>539250</v>
      </c>
      <c r="H1053" s="6">
        <f>F1053-G1053</f>
        <v>539250</v>
      </c>
      <c r="I1053" s="6">
        <f>IF(F1053&lt;&gt;0, ((F1053-G1053)/F1053)*100, 0)</f>
        <v>100</v>
      </c>
    </row>
    <row r="1054" spans="1:9" customFormat="1" ht="14.5" x14ac:dyDescent="0.35">
      <c r="D1054" s="10"/>
      <c r="F1054" s="10"/>
      <c r="G1054" s="10"/>
      <c r="H1054" s="10"/>
      <c r="I1054" s="10"/>
    </row>
    <row r="1055" spans="1:9" s="4" customFormat="1" x14ac:dyDescent="0.25">
      <c r="A1055" s="3" t="s">
        <v>11</v>
      </c>
      <c r="B1055" s="3" t="s">
        <v>11</v>
      </c>
      <c r="C1055" s="3" t="s">
        <v>11</v>
      </c>
      <c r="D1055" s="5">
        <f>SUBTOTAL(9, D1052:D1054)</f>
        <v>0</v>
      </c>
      <c r="E1055" s="3" t="s">
        <v>11</v>
      </c>
      <c r="F1055" s="5">
        <f>SUBTOTAL(9, F1052:F1054)</f>
        <v>918600</v>
      </c>
      <c r="G1055" s="5">
        <f>SUBTOTAL(9, G1052:G1054)</f>
        <v>0</v>
      </c>
      <c r="H1055" s="5">
        <f>SUBTOTAL(9, H1052:H1054)</f>
        <v>918600</v>
      </c>
      <c r="I1055" s="5">
        <f>IF(F1055&lt;&gt;0, ((F1055-G1055)/F1055)*100, 0)</f>
        <v>100</v>
      </c>
    </row>
    <row r="1056" spans="1:9" customFormat="1" ht="14.5" x14ac:dyDescent="0.35">
      <c r="D1056" s="10"/>
      <c r="F1056" s="10"/>
      <c r="G1056" s="10"/>
      <c r="H1056" s="10"/>
      <c r="I1056" s="10"/>
    </row>
    <row r="1057" spans="1:9" x14ac:dyDescent="0.25">
      <c r="A1057" s="2" t="s">
        <v>464</v>
      </c>
      <c r="B1057" s="2" t="s">
        <v>465</v>
      </c>
      <c r="C1057" s="2" t="s">
        <v>11</v>
      </c>
      <c r="E1057" s="2" t="s">
        <v>11</v>
      </c>
      <c r="F1057" s="6">
        <v>1500</v>
      </c>
      <c r="H1057" s="6">
        <f>F1057-G1057</f>
        <v>1500</v>
      </c>
      <c r="I1057" s="6">
        <f>IF(F1057&lt;&gt;0, ((F1057-G1057)/F1057)*100, 0)</f>
        <v>100</v>
      </c>
    </row>
    <row r="1058" spans="1:9" x14ac:dyDescent="0.25">
      <c r="A1058" s="2" t="s">
        <v>464</v>
      </c>
      <c r="B1058" s="2" t="s">
        <v>465</v>
      </c>
      <c r="C1058" s="2" t="s">
        <v>11</v>
      </c>
      <c r="E1058" s="2" t="s">
        <v>11</v>
      </c>
      <c r="F1058" s="6">
        <v>1500</v>
      </c>
      <c r="H1058" s="6">
        <f>F1058-G1058</f>
        <v>1500</v>
      </c>
      <c r="I1058" s="6">
        <f>IF(F1058&lt;&gt;0, ((F1058-G1058)/F1058)*100, 0)</f>
        <v>100</v>
      </c>
    </row>
    <row r="1059" spans="1:9" x14ac:dyDescent="0.25">
      <c r="A1059" s="2" t="s">
        <v>464</v>
      </c>
      <c r="B1059" s="2" t="s">
        <v>465</v>
      </c>
      <c r="C1059" s="2" t="s">
        <v>11</v>
      </c>
      <c r="E1059" s="2" t="s">
        <v>11</v>
      </c>
      <c r="F1059" s="6">
        <v>2250</v>
      </c>
      <c r="H1059" s="6">
        <f>F1059-G1059</f>
        <v>2250</v>
      </c>
      <c r="I1059" s="6">
        <f>IF(F1059&lt;&gt;0, ((F1059-G1059)/F1059)*100, 0)</f>
        <v>100</v>
      </c>
    </row>
    <row r="1060" spans="1:9" x14ac:dyDescent="0.25">
      <c r="A1060" s="2" t="s">
        <v>464</v>
      </c>
      <c r="B1060" s="2" t="s">
        <v>465</v>
      </c>
      <c r="C1060" s="2" t="s">
        <v>11</v>
      </c>
      <c r="E1060" s="2" t="s">
        <v>11</v>
      </c>
      <c r="F1060" s="6">
        <v>673550</v>
      </c>
      <c r="H1060" s="6">
        <f>F1060-G1060</f>
        <v>673550</v>
      </c>
      <c r="I1060" s="6">
        <f>IF(F1060&lt;&gt;0, ((F1060-G1060)/F1060)*100, 0)</f>
        <v>100</v>
      </c>
    </row>
    <row r="1061" spans="1:9" x14ac:dyDescent="0.25">
      <c r="A1061" s="2" t="s">
        <v>464</v>
      </c>
      <c r="B1061" s="2" t="s">
        <v>465</v>
      </c>
      <c r="C1061" s="2" t="s">
        <v>11</v>
      </c>
      <c r="E1061" s="2" t="s">
        <v>11</v>
      </c>
      <c r="F1061" s="6">
        <v>408000</v>
      </c>
      <c r="H1061" s="6">
        <f>F1061-G1061</f>
        <v>408000</v>
      </c>
      <c r="I1061" s="6">
        <f>IF(F1061&lt;&gt;0, ((F1061-G1061)/F1061)*100, 0)</f>
        <v>100</v>
      </c>
    </row>
    <row r="1062" spans="1:9" x14ac:dyDescent="0.25">
      <c r="A1062" s="2" t="s">
        <v>464</v>
      </c>
      <c r="B1062" s="2" t="s">
        <v>465</v>
      </c>
      <c r="C1062" s="2" t="s">
        <v>11</v>
      </c>
      <c r="E1062" s="2" t="s">
        <v>11</v>
      </c>
      <c r="F1062" s="6">
        <v>750</v>
      </c>
      <c r="H1062" s="6">
        <f>F1062-G1062</f>
        <v>750</v>
      </c>
      <c r="I1062" s="6">
        <f>IF(F1062&lt;&gt;0, ((F1062-G1062)/F1062)*100, 0)</f>
        <v>100</v>
      </c>
    </row>
    <row r="1063" spans="1:9" x14ac:dyDescent="0.25">
      <c r="A1063" s="2" t="s">
        <v>464</v>
      </c>
      <c r="B1063" s="2" t="s">
        <v>465</v>
      </c>
      <c r="C1063" s="2" t="s">
        <v>11</v>
      </c>
      <c r="E1063" s="2" t="s">
        <v>11</v>
      </c>
      <c r="F1063" s="6">
        <v>15000</v>
      </c>
      <c r="H1063" s="6">
        <f>F1063-G1063</f>
        <v>15000</v>
      </c>
      <c r="I1063" s="6">
        <f>IF(F1063&lt;&gt;0, ((F1063-G1063)/F1063)*100, 0)</f>
        <v>100</v>
      </c>
    </row>
    <row r="1064" spans="1:9" customFormat="1" ht="14.5" x14ac:dyDescent="0.35">
      <c r="D1064" s="10"/>
      <c r="F1064" s="10"/>
      <c r="G1064" s="10"/>
      <c r="H1064" s="10"/>
      <c r="I1064" s="10"/>
    </row>
    <row r="1065" spans="1:9" s="4" customFormat="1" x14ac:dyDescent="0.25">
      <c r="A1065" s="3" t="s">
        <v>11</v>
      </c>
      <c r="B1065" s="3" t="s">
        <v>11</v>
      </c>
      <c r="C1065" s="3" t="s">
        <v>11</v>
      </c>
      <c r="D1065" s="5">
        <f>SUBTOTAL(9, D1057:D1064)</f>
        <v>0</v>
      </c>
      <c r="E1065" s="3" t="s">
        <v>11</v>
      </c>
      <c r="F1065" s="5">
        <f>SUBTOTAL(9, F1057:F1064)</f>
        <v>1102550</v>
      </c>
      <c r="G1065" s="5">
        <f>SUBTOTAL(9, G1057:G1064)</f>
        <v>0</v>
      </c>
      <c r="H1065" s="5">
        <f>SUBTOTAL(9, H1057:H1064)</f>
        <v>1102550</v>
      </c>
      <c r="I1065" s="5">
        <f>IF(F1065&lt;&gt;0, ((F1065-G1065)/F1065)*100, 0)</f>
        <v>100</v>
      </c>
    </row>
    <row r="1066" spans="1:9" customFormat="1" ht="14.5" x14ac:dyDescent="0.35">
      <c r="D1066" s="10"/>
      <c r="F1066" s="10"/>
      <c r="G1066" s="10"/>
      <c r="H1066" s="10"/>
      <c r="I1066" s="10"/>
    </row>
    <row r="1067" spans="1:9" x14ac:dyDescent="0.25">
      <c r="A1067" s="2" t="s">
        <v>466</v>
      </c>
      <c r="B1067" s="2" t="s">
        <v>467</v>
      </c>
      <c r="C1067" s="2" t="s">
        <v>11</v>
      </c>
      <c r="E1067" s="2" t="s">
        <v>11</v>
      </c>
      <c r="F1067" s="6">
        <v>750</v>
      </c>
      <c r="H1067" s="6">
        <f>F1067-G1067</f>
        <v>750</v>
      </c>
      <c r="I1067" s="6">
        <f>IF(F1067&lt;&gt;0, ((F1067-G1067)/F1067)*100, 0)</f>
        <v>100</v>
      </c>
    </row>
    <row r="1068" spans="1:9" x14ac:dyDescent="0.25">
      <c r="A1068" s="2" t="s">
        <v>466</v>
      </c>
      <c r="B1068" s="2" t="s">
        <v>467</v>
      </c>
      <c r="C1068" s="2" t="s">
        <v>11</v>
      </c>
      <c r="E1068" s="2" t="s">
        <v>11</v>
      </c>
      <c r="F1068" s="6">
        <v>44250</v>
      </c>
      <c r="H1068" s="6">
        <f>F1068-G1068</f>
        <v>44250</v>
      </c>
      <c r="I1068" s="6">
        <f>IF(F1068&lt;&gt;0, ((F1068-G1068)/F1068)*100, 0)</f>
        <v>100</v>
      </c>
    </row>
    <row r="1069" spans="1:9" x14ac:dyDescent="0.25">
      <c r="A1069" s="2" t="s">
        <v>466</v>
      </c>
      <c r="B1069" s="2" t="s">
        <v>467</v>
      </c>
      <c r="C1069" s="2" t="s">
        <v>11</v>
      </c>
      <c r="E1069" s="2" t="s">
        <v>11</v>
      </c>
      <c r="F1069" s="6">
        <v>50250</v>
      </c>
      <c r="H1069" s="6">
        <f>F1069-G1069</f>
        <v>50250</v>
      </c>
      <c r="I1069" s="6">
        <f>IF(F1069&lt;&gt;0, ((F1069-G1069)/F1069)*100, 0)</f>
        <v>100</v>
      </c>
    </row>
    <row r="1070" spans="1:9" x14ac:dyDescent="0.25">
      <c r="A1070" s="2" t="s">
        <v>466</v>
      </c>
      <c r="B1070" s="2" t="s">
        <v>467</v>
      </c>
      <c r="C1070" s="2" t="s">
        <v>11</v>
      </c>
      <c r="E1070" s="2" t="s">
        <v>11</v>
      </c>
      <c r="F1070" s="6">
        <v>2250</v>
      </c>
      <c r="H1070" s="6">
        <f>F1070-G1070</f>
        <v>2250</v>
      </c>
      <c r="I1070" s="6">
        <f>IF(F1070&lt;&gt;0, ((F1070-G1070)/F1070)*100, 0)</f>
        <v>100</v>
      </c>
    </row>
    <row r="1071" spans="1:9" customFormat="1" ht="14.5" x14ac:dyDescent="0.35">
      <c r="D1071" s="10"/>
      <c r="F1071" s="10"/>
      <c r="G1071" s="10"/>
      <c r="H1071" s="10"/>
      <c r="I1071" s="10"/>
    </row>
    <row r="1072" spans="1:9" s="4" customFormat="1" x14ac:dyDescent="0.25">
      <c r="A1072" s="3" t="s">
        <v>11</v>
      </c>
      <c r="B1072" s="3" t="s">
        <v>11</v>
      </c>
      <c r="C1072" s="3" t="s">
        <v>11</v>
      </c>
      <c r="D1072" s="5">
        <f>SUBTOTAL(9, D1067:D1071)</f>
        <v>0</v>
      </c>
      <c r="E1072" s="3" t="s">
        <v>11</v>
      </c>
      <c r="F1072" s="5">
        <f>SUBTOTAL(9, F1067:F1071)</f>
        <v>97500</v>
      </c>
      <c r="G1072" s="5">
        <f>SUBTOTAL(9, G1067:G1071)</f>
        <v>0</v>
      </c>
      <c r="H1072" s="5">
        <f>SUBTOTAL(9, H1067:H1071)</f>
        <v>97500</v>
      </c>
      <c r="I1072" s="5">
        <f>IF(F1072&lt;&gt;0, ((F1072-G1072)/F1072)*100, 0)</f>
        <v>100</v>
      </c>
    </row>
    <row r="1073" spans="1:9" customFormat="1" ht="14.5" x14ac:dyDescent="0.35">
      <c r="D1073" s="10"/>
      <c r="F1073" s="10"/>
      <c r="G1073" s="10"/>
      <c r="H1073" s="10"/>
      <c r="I1073" s="10"/>
    </row>
    <row r="1074" spans="1:9" x14ac:dyDescent="0.25">
      <c r="A1074" s="2" t="s">
        <v>468</v>
      </c>
      <c r="B1074" s="2" t="s">
        <v>469</v>
      </c>
      <c r="C1074" s="2" t="s">
        <v>11</v>
      </c>
      <c r="E1074" s="2" t="s">
        <v>11</v>
      </c>
      <c r="F1074" s="6">
        <v>618600</v>
      </c>
      <c r="H1074" s="6">
        <f>F1074-G1074</f>
        <v>618600</v>
      </c>
      <c r="I1074" s="6">
        <f>IF(F1074&lt;&gt;0, ((F1074-G1074)/F1074)*100, 0)</f>
        <v>100</v>
      </c>
    </row>
    <row r="1075" spans="1:9" x14ac:dyDescent="0.25">
      <c r="A1075" s="2" t="s">
        <v>468</v>
      </c>
      <c r="B1075" s="2" t="s">
        <v>469</v>
      </c>
      <c r="C1075" s="2" t="s">
        <v>11</v>
      </c>
      <c r="E1075" s="2" t="s">
        <v>11</v>
      </c>
      <c r="F1075" s="6">
        <v>492000</v>
      </c>
      <c r="H1075" s="6">
        <f>F1075-G1075</f>
        <v>492000</v>
      </c>
      <c r="I1075" s="6">
        <f>IF(F1075&lt;&gt;0, ((F1075-G1075)/F1075)*100, 0)</f>
        <v>100</v>
      </c>
    </row>
    <row r="1076" spans="1:9" x14ac:dyDescent="0.25">
      <c r="A1076" s="2" t="s">
        <v>468</v>
      </c>
      <c r="B1076" s="2" t="s">
        <v>469</v>
      </c>
      <c r="C1076" s="2" t="s">
        <v>11</v>
      </c>
      <c r="E1076" s="2" t="s">
        <v>11</v>
      </c>
      <c r="F1076" s="6">
        <v>6750</v>
      </c>
      <c r="H1076" s="6">
        <f>F1076-G1076</f>
        <v>6750</v>
      </c>
      <c r="I1076" s="6">
        <f>IF(F1076&lt;&gt;0, ((F1076-G1076)/F1076)*100, 0)</f>
        <v>100</v>
      </c>
    </row>
    <row r="1077" spans="1:9" x14ac:dyDescent="0.25">
      <c r="A1077" s="2" t="s">
        <v>468</v>
      </c>
      <c r="B1077" s="2" t="s">
        <v>469</v>
      </c>
      <c r="C1077" s="2" t="s">
        <v>11</v>
      </c>
      <c r="E1077" s="2" t="s">
        <v>11</v>
      </c>
      <c r="F1077" s="6">
        <v>3000</v>
      </c>
      <c r="H1077" s="6">
        <f>F1077-G1077</f>
        <v>3000</v>
      </c>
      <c r="I1077" s="6">
        <f>IF(F1077&lt;&gt;0, ((F1077-G1077)/F1077)*100, 0)</f>
        <v>100</v>
      </c>
    </row>
    <row r="1078" spans="1:9" customFormat="1" ht="14.5" x14ac:dyDescent="0.35">
      <c r="D1078" s="10"/>
      <c r="F1078" s="10"/>
      <c r="G1078" s="10"/>
      <c r="H1078" s="10"/>
      <c r="I1078" s="10"/>
    </row>
    <row r="1079" spans="1:9" s="4" customFormat="1" x14ac:dyDescent="0.25">
      <c r="A1079" s="3" t="s">
        <v>11</v>
      </c>
      <c r="B1079" s="3" t="s">
        <v>11</v>
      </c>
      <c r="C1079" s="3" t="s">
        <v>11</v>
      </c>
      <c r="D1079" s="5">
        <f>SUBTOTAL(9, D1074:D1078)</f>
        <v>0</v>
      </c>
      <c r="E1079" s="3" t="s">
        <v>11</v>
      </c>
      <c r="F1079" s="5">
        <f>SUBTOTAL(9, F1074:F1078)</f>
        <v>1120350</v>
      </c>
      <c r="G1079" s="5">
        <f>SUBTOTAL(9, G1074:G1078)</f>
        <v>0</v>
      </c>
      <c r="H1079" s="5">
        <f>SUBTOTAL(9, H1074:H1078)</f>
        <v>1120350</v>
      </c>
      <c r="I1079" s="5">
        <f>IF(F1079&lt;&gt;0, ((F1079-G1079)/F1079)*100, 0)</f>
        <v>100</v>
      </c>
    </row>
    <row r="1080" spans="1:9" customFormat="1" ht="14.5" x14ac:dyDescent="0.35">
      <c r="D1080" s="10"/>
      <c r="F1080" s="10"/>
      <c r="G1080" s="10"/>
      <c r="H1080" s="10"/>
      <c r="I1080" s="10"/>
    </row>
    <row r="1081" spans="1:9" x14ac:dyDescent="0.25">
      <c r="A1081" s="2" t="s">
        <v>470</v>
      </c>
      <c r="B1081" s="2" t="s">
        <v>471</v>
      </c>
      <c r="C1081" s="2" t="s">
        <v>11</v>
      </c>
      <c r="E1081" s="2" t="s">
        <v>11</v>
      </c>
      <c r="F1081" s="6">
        <v>182250</v>
      </c>
      <c r="H1081" s="6">
        <f>F1081-G1081</f>
        <v>182250</v>
      </c>
      <c r="I1081" s="6">
        <f>IF(F1081&lt;&gt;0, ((F1081-G1081)/F1081)*100, 0)</f>
        <v>100</v>
      </c>
    </row>
    <row r="1082" spans="1:9" customFormat="1" ht="14.5" x14ac:dyDescent="0.35">
      <c r="D1082" s="10"/>
      <c r="F1082" s="10"/>
      <c r="G1082" s="10"/>
      <c r="H1082" s="10"/>
      <c r="I1082" s="10"/>
    </row>
    <row r="1083" spans="1:9" s="4" customFormat="1" x14ac:dyDescent="0.25">
      <c r="A1083" s="3" t="s">
        <v>11</v>
      </c>
      <c r="B1083" s="3" t="s">
        <v>11</v>
      </c>
      <c r="C1083" s="3" t="s">
        <v>11</v>
      </c>
      <c r="D1083" s="5">
        <f>SUBTOTAL(9, D1081:D1082)</f>
        <v>0</v>
      </c>
      <c r="E1083" s="3" t="s">
        <v>11</v>
      </c>
      <c r="F1083" s="5">
        <f>SUBTOTAL(9, F1081:F1082)</f>
        <v>182250</v>
      </c>
      <c r="G1083" s="5">
        <f>SUBTOTAL(9, G1081:G1082)</f>
        <v>0</v>
      </c>
      <c r="H1083" s="5">
        <f>SUBTOTAL(9, H1081:H1082)</f>
        <v>182250</v>
      </c>
      <c r="I1083" s="5">
        <f>IF(F1083&lt;&gt;0, ((F1083-G1083)/F1083)*100, 0)</f>
        <v>100</v>
      </c>
    </row>
    <row r="1084" spans="1:9" customFormat="1" ht="14.5" x14ac:dyDescent="0.35">
      <c r="D1084" s="10"/>
      <c r="F1084" s="10"/>
      <c r="G1084" s="10"/>
      <c r="H1084" s="10"/>
      <c r="I1084" s="10"/>
    </row>
    <row r="1085" spans="1:9" x14ac:dyDescent="0.25">
      <c r="A1085" s="2" t="s">
        <v>472</v>
      </c>
      <c r="B1085" s="2" t="s">
        <v>473</v>
      </c>
      <c r="C1085" s="2" t="s">
        <v>11</v>
      </c>
      <c r="E1085" s="2" t="s">
        <v>11</v>
      </c>
      <c r="F1085" s="6">
        <v>122500</v>
      </c>
      <c r="H1085" s="6">
        <f>F1085-G1085</f>
        <v>122500</v>
      </c>
      <c r="I1085" s="6">
        <f>IF(F1085&lt;&gt;0, ((F1085-G1085)/F1085)*100, 0)</f>
        <v>100</v>
      </c>
    </row>
    <row r="1086" spans="1:9" customFormat="1" ht="14.5" x14ac:dyDescent="0.35">
      <c r="D1086" s="10"/>
      <c r="F1086" s="10"/>
      <c r="G1086" s="10"/>
      <c r="H1086" s="10"/>
      <c r="I1086" s="10"/>
    </row>
    <row r="1087" spans="1:9" s="4" customFormat="1" x14ac:dyDescent="0.25">
      <c r="A1087" s="3" t="s">
        <v>11</v>
      </c>
      <c r="B1087" s="3" t="s">
        <v>11</v>
      </c>
      <c r="C1087" s="3" t="s">
        <v>11</v>
      </c>
      <c r="D1087" s="5">
        <f>SUBTOTAL(9, D1085:D1086)</f>
        <v>0</v>
      </c>
      <c r="E1087" s="3" t="s">
        <v>11</v>
      </c>
      <c r="F1087" s="5">
        <f>SUBTOTAL(9, F1085:F1086)</f>
        <v>122500</v>
      </c>
      <c r="G1087" s="5">
        <f>SUBTOTAL(9, G1085:G1086)</f>
        <v>0</v>
      </c>
      <c r="H1087" s="5">
        <f>SUBTOTAL(9, H1085:H1086)</f>
        <v>122500</v>
      </c>
      <c r="I1087" s="5">
        <f>IF(F1087&lt;&gt;0, ((F1087-G1087)/F1087)*100, 0)</f>
        <v>100</v>
      </c>
    </row>
    <row r="1088" spans="1:9" customFormat="1" ht="14.5" x14ac:dyDescent="0.35">
      <c r="D1088" s="10"/>
      <c r="F1088" s="10"/>
      <c r="G1088" s="10"/>
      <c r="H1088" s="10"/>
      <c r="I1088" s="10"/>
    </row>
    <row r="1089" spans="1:9" x14ac:dyDescent="0.25">
      <c r="A1089" s="2" t="s">
        <v>474</v>
      </c>
      <c r="B1089" s="2" t="s">
        <v>475</v>
      </c>
      <c r="C1089" s="2" t="s">
        <v>11</v>
      </c>
      <c r="E1089" s="2" t="s">
        <v>11</v>
      </c>
      <c r="F1089" s="6">
        <v>43750</v>
      </c>
      <c r="H1089" s="6">
        <f>F1089-G1089</f>
        <v>43750</v>
      </c>
      <c r="I1089" s="6">
        <f>IF(F1089&lt;&gt;0, ((F1089-G1089)/F1089)*100, 0)</f>
        <v>100</v>
      </c>
    </row>
    <row r="1090" spans="1:9" x14ac:dyDescent="0.25">
      <c r="A1090" s="2" t="s">
        <v>474</v>
      </c>
      <c r="B1090" s="2" t="s">
        <v>475</v>
      </c>
      <c r="C1090" s="2" t="s">
        <v>11</v>
      </c>
      <c r="E1090" s="2" t="s">
        <v>11</v>
      </c>
      <c r="F1090" s="6">
        <v>18000</v>
      </c>
      <c r="H1090" s="6">
        <f>F1090-G1090</f>
        <v>18000</v>
      </c>
      <c r="I1090" s="6">
        <f>IF(F1090&lt;&gt;0, ((F1090-G1090)/F1090)*100, 0)</f>
        <v>100</v>
      </c>
    </row>
    <row r="1091" spans="1:9" customFormat="1" ht="14.5" x14ac:dyDescent="0.35">
      <c r="D1091" s="10"/>
      <c r="F1091" s="10"/>
      <c r="G1091" s="10"/>
      <c r="H1091" s="10"/>
      <c r="I1091" s="10"/>
    </row>
    <row r="1092" spans="1:9" s="4" customFormat="1" x14ac:dyDescent="0.25">
      <c r="A1092" s="3" t="s">
        <v>11</v>
      </c>
      <c r="B1092" s="3" t="s">
        <v>11</v>
      </c>
      <c r="C1092" s="3" t="s">
        <v>11</v>
      </c>
      <c r="D1092" s="5">
        <f>SUBTOTAL(9, D1089:D1091)</f>
        <v>0</v>
      </c>
      <c r="E1092" s="3" t="s">
        <v>11</v>
      </c>
      <c r="F1092" s="5">
        <f>SUBTOTAL(9, F1089:F1091)</f>
        <v>61750</v>
      </c>
      <c r="G1092" s="5">
        <f>SUBTOTAL(9, G1089:G1091)</f>
        <v>0</v>
      </c>
      <c r="H1092" s="5">
        <f>SUBTOTAL(9, H1089:H1091)</f>
        <v>61750</v>
      </c>
      <c r="I1092" s="5">
        <f>IF(F1092&lt;&gt;0, ((F1092-G1092)/F1092)*100, 0)</f>
        <v>100</v>
      </c>
    </row>
    <row r="1093" spans="1:9" customFormat="1" ht="14.5" x14ac:dyDescent="0.35">
      <c r="D1093" s="10"/>
      <c r="F1093" s="10"/>
      <c r="G1093" s="10"/>
      <c r="H1093" s="10"/>
      <c r="I1093" s="10"/>
    </row>
    <row r="1094" spans="1:9" x14ac:dyDescent="0.25">
      <c r="A1094" s="2" t="s">
        <v>476</v>
      </c>
      <c r="B1094" s="2" t="s">
        <v>477</v>
      </c>
      <c r="C1094" s="2" t="s">
        <v>11</v>
      </c>
      <c r="E1094" s="2" t="s">
        <v>11</v>
      </c>
      <c r="F1094" s="6">
        <v>21000</v>
      </c>
      <c r="H1094" s="6">
        <f>F1094-G1094</f>
        <v>21000</v>
      </c>
      <c r="I1094" s="6">
        <f>IF(F1094&lt;&gt;0, ((F1094-G1094)/F1094)*100, 0)</f>
        <v>100</v>
      </c>
    </row>
    <row r="1095" spans="1:9" x14ac:dyDescent="0.25">
      <c r="A1095" s="2" t="s">
        <v>476</v>
      </c>
      <c r="B1095" s="2" t="s">
        <v>477</v>
      </c>
      <c r="C1095" s="2" t="s">
        <v>11</v>
      </c>
      <c r="E1095" s="2" t="s">
        <v>11</v>
      </c>
      <c r="F1095" s="6">
        <v>24000</v>
      </c>
      <c r="H1095" s="6">
        <f>F1095-G1095</f>
        <v>24000</v>
      </c>
      <c r="I1095" s="6">
        <f>IF(F1095&lt;&gt;0, ((F1095-G1095)/F1095)*100, 0)</f>
        <v>100</v>
      </c>
    </row>
    <row r="1096" spans="1:9" customFormat="1" ht="14.5" x14ac:dyDescent="0.35">
      <c r="D1096" s="10"/>
      <c r="F1096" s="10"/>
      <c r="G1096" s="10"/>
      <c r="H1096" s="10"/>
      <c r="I1096" s="10"/>
    </row>
    <row r="1097" spans="1:9" s="4" customFormat="1" x14ac:dyDescent="0.25">
      <c r="A1097" s="3" t="s">
        <v>11</v>
      </c>
      <c r="B1097" s="3" t="s">
        <v>11</v>
      </c>
      <c r="C1097" s="3" t="s">
        <v>11</v>
      </c>
      <c r="D1097" s="5">
        <f>SUBTOTAL(9, D1094:D1096)</f>
        <v>0</v>
      </c>
      <c r="E1097" s="3" t="s">
        <v>11</v>
      </c>
      <c r="F1097" s="5">
        <f>SUBTOTAL(9, F1094:F1096)</f>
        <v>45000</v>
      </c>
      <c r="G1097" s="5">
        <f>SUBTOTAL(9, G1094:G1096)</f>
        <v>0</v>
      </c>
      <c r="H1097" s="5">
        <f>SUBTOTAL(9, H1094:H1096)</f>
        <v>45000</v>
      </c>
      <c r="I1097" s="5">
        <f>IF(F1097&lt;&gt;0, ((F1097-G1097)/F1097)*100, 0)</f>
        <v>100</v>
      </c>
    </row>
    <row r="1098" spans="1:9" customFormat="1" ht="14.5" x14ac:dyDescent="0.35">
      <c r="D1098" s="10"/>
      <c r="F1098" s="10"/>
      <c r="G1098" s="10"/>
      <c r="H1098" s="10"/>
      <c r="I1098" s="10"/>
    </row>
    <row r="1099" spans="1:9" x14ac:dyDescent="0.25">
      <c r="A1099" s="2" t="s">
        <v>478</v>
      </c>
      <c r="B1099" s="2" t="s">
        <v>479</v>
      </c>
      <c r="C1099" s="2" t="s">
        <v>11</v>
      </c>
      <c r="E1099" s="2" t="s">
        <v>11</v>
      </c>
      <c r="F1099" s="6">
        <v>87000</v>
      </c>
      <c r="H1099" s="6">
        <f>F1099-G1099</f>
        <v>87000</v>
      </c>
      <c r="I1099" s="6">
        <f>IF(F1099&lt;&gt;0, ((F1099-G1099)/F1099)*100, 0)</f>
        <v>100</v>
      </c>
    </row>
    <row r="1100" spans="1:9" customFormat="1" ht="14.5" x14ac:dyDescent="0.35">
      <c r="D1100" s="10"/>
      <c r="F1100" s="10"/>
      <c r="G1100" s="10"/>
      <c r="H1100" s="10"/>
      <c r="I1100" s="10"/>
    </row>
    <row r="1101" spans="1:9" s="4" customFormat="1" x14ac:dyDescent="0.25">
      <c r="A1101" s="3" t="s">
        <v>11</v>
      </c>
      <c r="B1101" s="3" t="s">
        <v>11</v>
      </c>
      <c r="C1101" s="3" t="s">
        <v>11</v>
      </c>
      <c r="D1101" s="5">
        <f>SUBTOTAL(9, D1099:D1100)</f>
        <v>0</v>
      </c>
      <c r="E1101" s="3" t="s">
        <v>11</v>
      </c>
      <c r="F1101" s="5">
        <f>SUBTOTAL(9, F1099:F1100)</f>
        <v>87000</v>
      </c>
      <c r="G1101" s="5">
        <f>SUBTOTAL(9, G1099:G1100)</f>
        <v>0</v>
      </c>
      <c r="H1101" s="5">
        <f>SUBTOTAL(9, H1099:H1100)</f>
        <v>87000</v>
      </c>
      <c r="I1101" s="5">
        <f>IF(F1101&lt;&gt;0, ((F1101-G1101)/F1101)*100, 0)</f>
        <v>100</v>
      </c>
    </row>
    <row r="1102" spans="1:9" customFormat="1" ht="14.5" x14ac:dyDescent="0.35">
      <c r="D1102" s="10"/>
      <c r="F1102" s="10"/>
      <c r="G1102" s="10"/>
      <c r="H1102" s="10"/>
      <c r="I1102" s="10"/>
    </row>
    <row r="1103" spans="1:9" x14ac:dyDescent="0.25">
      <c r="A1103" s="2" t="s">
        <v>480</v>
      </c>
      <c r="B1103" s="2" t="s">
        <v>481</v>
      </c>
      <c r="C1103" s="2" t="s">
        <v>11</v>
      </c>
      <c r="E1103" s="2" t="s">
        <v>11</v>
      </c>
      <c r="F1103" s="6">
        <v>4500</v>
      </c>
      <c r="H1103" s="6">
        <f>F1103-G1103</f>
        <v>4500</v>
      </c>
      <c r="I1103" s="6">
        <f>IF(F1103&lt;&gt;0, ((F1103-G1103)/F1103)*100, 0)</f>
        <v>100</v>
      </c>
    </row>
    <row r="1104" spans="1:9" customFormat="1" ht="14.5" x14ac:dyDescent="0.35">
      <c r="D1104" s="10"/>
      <c r="F1104" s="10"/>
      <c r="G1104" s="10"/>
      <c r="H1104" s="10"/>
      <c r="I1104" s="10"/>
    </row>
    <row r="1105" spans="1:9" s="4" customFormat="1" x14ac:dyDescent="0.25">
      <c r="A1105" s="3" t="s">
        <v>11</v>
      </c>
      <c r="B1105" s="3" t="s">
        <v>11</v>
      </c>
      <c r="C1105" s="3" t="s">
        <v>11</v>
      </c>
      <c r="D1105" s="5">
        <f>SUBTOTAL(9, D1103:D1104)</f>
        <v>0</v>
      </c>
      <c r="E1105" s="3" t="s">
        <v>11</v>
      </c>
      <c r="F1105" s="5">
        <f>SUBTOTAL(9, F1103:F1104)</f>
        <v>4500</v>
      </c>
      <c r="G1105" s="5">
        <f>SUBTOTAL(9, G1103:G1104)</f>
        <v>0</v>
      </c>
      <c r="H1105" s="5">
        <f>SUBTOTAL(9, H1103:H1104)</f>
        <v>4500</v>
      </c>
      <c r="I1105" s="5">
        <f>IF(F1105&lt;&gt;0, ((F1105-G1105)/F1105)*100, 0)</f>
        <v>100</v>
      </c>
    </row>
    <row r="1106" spans="1:9" customFormat="1" ht="14.5" x14ac:dyDescent="0.35">
      <c r="D1106" s="10"/>
      <c r="F1106" s="10"/>
      <c r="G1106" s="10"/>
      <c r="H1106" s="10"/>
      <c r="I1106" s="10"/>
    </row>
    <row r="1107" spans="1:9" x14ac:dyDescent="0.25">
      <c r="A1107" s="2" t="s">
        <v>482</v>
      </c>
      <c r="B1107" s="2" t="s">
        <v>483</v>
      </c>
      <c r="C1107" s="2" t="s">
        <v>11</v>
      </c>
      <c r="E1107" s="2" t="s">
        <v>11</v>
      </c>
      <c r="F1107" s="6">
        <v>52650</v>
      </c>
      <c r="H1107" s="6">
        <f>F1107-G1107</f>
        <v>52650</v>
      </c>
      <c r="I1107" s="6">
        <f>IF(F1107&lt;&gt;0, ((F1107-G1107)/F1107)*100, 0)</f>
        <v>100</v>
      </c>
    </row>
    <row r="1108" spans="1:9" x14ac:dyDescent="0.25">
      <c r="A1108" s="2" t="s">
        <v>482</v>
      </c>
      <c r="B1108" s="2" t="s">
        <v>483</v>
      </c>
      <c r="C1108" s="2" t="s">
        <v>11</v>
      </c>
      <c r="E1108" s="2" t="s">
        <v>11</v>
      </c>
      <c r="F1108" s="6">
        <v>136500</v>
      </c>
      <c r="H1108" s="6">
        <f>F1108-G1108</f>
        <v>136500</v>
      </c>
      <c r="I1108" s="6">
        <f>IF(F1108&lt;&gt;0, ((F1108-G1108)/F1108)*100, 0)</f>
        <v>100</v>
      </c>
    </row>
    <row r="1109" spans="1:9" customFormat="1" ht="14.5" x14ac:dyDescent="0.35">
      <c r="D1109" s="10"/>
      <c r="F1109" s="10"/>
      <c r="G1109" s="10"/>
      <c r="H1109" s="10"/>
      <c r="I1109" s="10"/>
    </row>
    <row r="1110" spans="1:9" s="4" customFormat="1" x14ac:dyDescent="0.25">
      <c r="A1110" s="3" t="s">
        <v>11</v>
      </c>
      <c r="B1110" s="3" t="s">
        <v>11</v>
      </c>
      <c r="C1110" s="3" t="s">
        <v>11</v>
      </c>
      <c r="D1110" s="5">
        <f>SUBTOTAL(9, D1107:D1109)</f>
        <v>0</v>
      </c>
      <c r="E1110" s="3" t="s">
        <v>11</v>
      </c>
      <c r="F1110" s="5">
        <f>SUBTOTAL(9, F1107:F1109)</f>
        <v>189150</v>
      </c>
      <c r="G1110" s="5">
        <f>SUBTOTAL(9, G1107:G1109)</f>
        <v>0</v>
      </c>
      <c r="H1110" s="5">
        <f>SUBTOTAL(9, H1107:H1109)</f>
        <v>189150</v>
      </c>
      <c r="I1110" s="5">
        <f>IF(F1110&lt;&gt;0, ((F1110-G1110)/F1110)*100, 0)</f>
        <v>100</v>
      </c>
    </row>
    <row r="1111" spans="1:9" customFormat="1" ht="14.5" x14ac:dyDescent="0.35">
      <c r="D1111" s="10"/>
      <c r="F1111" s="10"/>
      <c r="G1111" s="10"/>
      <c r="H1111" s="10"/>
      <c r="I1111" s="10"/>
    </row>
    <row r="1112" spans="1:9" x14ac:dyDescent="0.25">
      <c r="A1112" s="2" t="s">
        <v>484</v>
      </c>
      <c r="B1112" s="2" t="s">
        <v>485</v>
      </c>
      <c r="C1112" s="2" t="s">
        <v>11</v>
      </c>
      <c r="E1112" s="2" t="s">
        <v>11</v>
      </c>
      <c r="F1112" s="6">
        <v>304200</v>
      </c>
      <c r="H1112" s="6">
        <f>F1112-G1112</f>
        <v>304200</v>
      </c>
      <c r="I1112" s="6">
        <f>IF(F1112&lt;&gt;0, ((F1112-G1112)/F1112)*100, 0)</f>
        <v>100</v>
      </c>
    </row>
    <row r="1113" spans="1:9" x14ac:dyDescent="0.25">
      <c r="A1113" s="2" t="s">
        <v>484</v>
      </c>
      <c r="B1113" s="2" t="s">
        <v>485</v>
      </c>
      <c r="C1113" s="2" t="s">
        <v>11</v>
      </c>
      <c r="E1113" s="2" t="s">
        <v>11</v>
      </c>
      <c r="F1113" s="6">
        <v>672000</v>
      </c>
      <c r="H1113" s="6">
        <f>F1113-G1113</f>
        <v>672000</v>
      </c>
      <c r="I1113" s="6">
        <f>IF(F1113&lt;&gt;0, ((F1113-G1113)/F1113)*100, 0)</f>
        <v>100</v>
      </c>
    </row>
    <row r="1114" spans="1:9" x14ac:dyDescent="0.25">
      <c r="A1114" s="2" t="s">
        <v>484</v>
      </c>
      <c r="B1114" s="2" t="s">
        <v>485</v>
      </c>
      <c r="C1114" s="2" t="s">
        <v>11</v>
      </c>
      <c r="E1114" s="2" t="s">
        <v>11</v>
      </c>
      <c r="F1114" s="6">
        <v>172500</v>
      </c>
      <c r="H1114" s="6">
        <f>F1114-G1114</f>
        <v>172500</v>
      </c>
      <c r="I1114" s="6">
        <f>IF(F1114&lt;&gt;0, ((F1114-G1114)/F1114)*100, 0)</f>
        <v>100</v>
      </c>
    </row>
    <row r="1115" spans="1:9" customFormat="1" ht="14.5" x14ac:dyDescent="0.35">
      <c r="D1115" s="10"/>
      <c r="F1115" s="10"/>
      <c r="G1115" s="10"/>
      <c r="H1115" s="10"/>
      <c r="I1115" s="10"/>
    </row>
    <row r="1116" spans="1:9" s="4" customFormat="1" x14ac:dyDescent="0.25">
      <c r="A1116" s="3" t="s">
        <v>11</v>
      </c>
      <c r="B1116" s="3" t="s">
        <v>11</v>
      </c>
      <c r="C1116" s="3" t="s">
        <v>11</v>
      </c>
      <c r="D1116" s="5">
        <f>SUBTOTAL(9, D1112:D1115)</f>
        <v>0</v>
      </c>
      <c r="E1116" s="3" t="s">
        <v>11</v>
      </c>
      <c r="F1116" s="5">
        <f>SUBTOTAL(9, F1112:F1115)</f>
        <v>1148700</v>
      </c>
      <c r="G1116" s="5">
        <f>SUBTOTAL(9, G1112:G1115)</f>
        <v>0</v>
      </c>
      <c r="H1116" s="5">
        <f>SUBTOTAL(9, H1112:H1115)</f>
        <v>1148700</v>
      </c>
      <c r="I1116" s="5">
        <f>IF(F1116&lt;&gt;0, ((F1116-G1116)/F1116)*100, 0)</f>
        <v>100</v>
      </c>
    </row>
    <row r="1117" spans="1:9" customFormat="1" ht="14.5" x14ac:dyDescent="0.35">
      <c r="D1117" s="10"/>
      <c r="F1117" s="10"/>
      <c r="G1117" s="10"/>
      <c r="H1117" s="10"/>
      <c r="I1117" s="10"/>
    </row>
    <row r="1118" spans="1:9" x14ac:dyDescent="0.25">
      <c r="A1118" s="2" t="s">
        <v>486</v>
      </c>
      <c r="B1118" s="2" t="s">
        <v>487</v>
      </c>
      <c r="C1118" s="2" t="s">
        <v>11</v>
      </c>
      <c r="E1118" s="2" t="s">
        <v>11</v>
      </c>
      <c r="F1118" s="6">
        <v>18000</v>
      </c>
      <c r="H1118" s="6">
        <f>F1118-G1118</f>
        <v>18000</v>
      </c>
      <c r="I1118" s="6">
        <f>IF(F1118&lt;&gt;0, ((F1118-G1118)/F1118)*100, 0)</f>
        <v>100</v>
      </c>
    </row>
    <row r="1119" spans="1:9" x14ac:dyDescent="0.25">
      <c r="A1119" s="2" t="s">
        <v>486</v>
      </c>
      <c r="B1119" s="2" t="s">
        <v>487</v>
      </c>
      <c r="C1119" s="2" t="s">
        <v>11</v>
      </c>
      <c r="E1119" s="2" t="s">
        <v>11</v>
      </c>
      <c r="F1119" s="6">
        <v>69000</v>
      </c>
      <c r="H1119" s="6">
        <f>F1119-G1119</f>
        <v>69000</v>
      </c>
      <c r="I1119" s="6">
        <f>IF(F1119&lt;&gt;0, ((F1119-G1119)/F1119)*100, 0)</f>
        <v>100</v>
      </c>
    </row>
    <row r="1120" spans="1:9" customFormat="1" ht="14.5" x14ac:dyDescent="0.35">
      <c r="D1120" s="10"/>
      <c r="F1120" s="10"/>
      <c r="G1120" s="10"/>
      <c r="H1120" s="10"/>
      <c r="I1120" s="10"/>
    </row>
    <row r="1121" spans="1:9" s="4" customFormat="1" x14ac:dyDescent="0.25">
      <c r="A1121" s="3" t="s">
        <v>11</v>
      </c>
      <c r="B1121" s="3" t="s">
        <v>11</v>
      </c>
      <c r="C1121" s="3" t="s">
        <v>11</v>
      </c>
      <c r="D1121" s="5">
        <f>SUBTOTAL(9, D1118:D1120)</f>
        <v>0</v>
      </c>
      <c r="E1121" s="3" t="s">
        <v>11</v>
      </c>
      <c r="F1121" s="5">
        <f>SUBTOTAL(9, F1118:F1120)</f>
        <v>87000</v>
      </c>
      <c r="G1121" s="5">
        <f>SUBTOTAL(9, G1118:G1120)</f>
        <v>0</v>
      </c>
      <c r="H1121" s="5">
        <f>SUBTOTAL(9, H1118:H1120)</f>
        <v>87000</v>
      </c>
      <c r="I1121" s="5">
        <f>IF(F1121&lt;&gt;0, ((F1121-G1121)/F1121)*100, 0)</f>
        <v>100</v>
      </c>
    </row>
    <row r="1122" spans="1:9" customFormat="1" ht="14.5" x14ac:dyDescent="0.35">
      <c r="D1122" s="10"/>
      <c r="F1122" s="10"/>
      <c r="G1122" s="10"/>
      <c r="H1122" s="10"/>
      <c r="I1122" s="10"/>
    </row>
    <row r="1123" spans="1:9" x14ac:dyDescent="0.25">
      <c r="A1123" s="2" t="s">
        <v>488</v>
      </c>
      <c r="B1123" s="2" t="s">
        <v>489</v>
      </c>
      <c r="C1123" s="2" t="s">
        <v>11</v>
      </c>
      <c r="E1123" s="2" t="s">
        <v>11</v>
      </c>
      <c r="F1123" s="6">
        <v>57600</v>
      </c>
      <c r="H1123" s="6">
        <f>F1123-G1123</f>
        <v>57600</v>
      </c>
      <c r="I1123" s="6">
        <f>IF(F1123&lt;&gt;0, ((F1123-G1123)/F1123)*100, 0)</f>
        <v>100</v>
      </c>
    </row>
    <row r="1124" spans="1:9" x14ac:dyDescent="0.25">
      <c r="A1124" s="2" t="s">
        <v>488</v>
      </c>
      <c r="B1124" s="2" t="s">
        <v>489</v>
      </c>
      <c r="C1124" s="2" t="s">
        <v>11</v>
      </c>
      <c r="E1124" s="2" t="s">
        <v>11</v>
      </c>
      <c r="F1124" s="6">
        <v>123750</v>
      </c>
      <c r="H1124" s="6">
        <f>F1124-G1124</f>
        <v>123750</v>
      </c>
      <c r="I1124" s="6">
        <f>IF(F1124&lt;&gt;0, ((F1124-G1124)/F1124)*100, 0)</f>
        <v>100</v>
      </c>
    </row>
    <row r="1125" spans="1:9" customFormat="1" ht="14.5" x14ac:dyDescent="0.35">
      <c r="D1125" s="10"/>
      <c r="F1125" s="10"/>
      <c r="G1125" s="10"/>
      <c r="H1125" s="10"/>
      <c r="I1125" s="10"/>
    </row>
    <row r="1126" spans="1:9" s="4" customFormat="1" x14ac:dyDescent="0.25">
      <c r="A1126" s="3" t="s">
        <v>11</v>
      </c>
      <c r="B1126" s="3" t="s">
        <v>11</v>
      </c>
      <c r="C1126" s="3" t="s">
        <v>11</v>
      </c>
      <c r="D1126" s="5">
        <f>SUBTOTAL(9, D1123:D1125)</f>
        <v>0</v>
      </c>
      <c r="E1126" s="3" t="s">
        <v>11</v>
      </c>
      <c r="F1126" s="5">
        <f>SUBTOTAL(9, F1123:F1125)</f>
        <v>181350</v>
      </c>
      <c r="G1126" s="5">
        <f>SUBTOTAL(9, G1123:G1125)</f>
        <v>0</v>
      </c>
      <c r="H1126" s="5">
        <f>SUBTOTAL(9, H1123:H1125)</f>
        <v>181350</v>
      </c>
      <c r="I1126" s="5">
        <f>IF(F1126&lt;&gt;0, ((F1126-G1126)/F1126)*100, 0)</f>
        <v>100</v>
      </c>
    </row>
    <row r="1127" spans="1:9" customFormat="1" ht="14.5" x14ac:dyDescent="0.35">
      <c r="D1127" s="10"/>
      <c r="F1127" s="10"/>
      <c r="G1127" s="10"/>
      <c r="H1127" s="10"/>
      <c r="I1127" s="10"/>
    </row>
    <row r="1128" spans="1:9" x14ac:dyDescent="0.25">
      <c r="A1128" s="2" t="s">
        <v>490</v>
      </c>
      <c r="B1128" s="2" t="s">
        <v>491</v>
      </c>
      <c r="C1128" s="2" t="s">
        <v>11</v>
      </c>
      <c r="E1128" s="2" t="s">
        <v>11</v>
      </c>
      <c r="F1128" s="6">
        <v>24750</v>
      </c>
      <c r="H1128" s="6">
        <f>F1128-G1128</f>
        <v>24750</v>
      </c>
      <c r="I1128" s="6">
        <f>IF(F1128&lt;&gt;0, ((F1128-G1128)/F1128)*100, 0)</f>
        <v>100</v>
      </c>
    </row>
    <row r="1129" spans="1:9" customFormat="1" ht="14.5" x14ac:dyDescent="0.35">
      <c r="D1129" s="10"/>
      <c r="F1129" s="10"/>
      <c r="G1129" s="10"/>
      <c r="H1129" s="10"/>
      <c r="I1129" s="10"/>
    </row>
    <row r="1130" spans="1:9" s="4" customFormat="1" x14ac:dyDescent="0.25">
      <c r="A1130" s="3" t="s">
        <v>11</v>
      </c>
      <c r="B1130" s="3" t="s">
        <v>11</v>
      </c>
      <c r="C1130" s="3" t="s">
        <v>11</v>
      </c>
      <c r="D1130" s="5">
        <f>SUBTOTAL(9, D1128:D1129)</f>
        <v>0</v>
      </c>
      <c r="E1130" s="3" t="s">
        <v>11</v>
      </c>
      <c r="F1130" s="5">
        <f>SUBTOTAL(9, F1128:F1129)</f>
        <v>24750</v>
      </c>
      <c r="G1130" s="5">
        <f>SUBTOTAL(9, G1128:G1129)</f>
        <v>0</v>
      </c>
      <c r="H1130" s="5">
        <f>SUBTOTAL(9, H1128:H1129)</f>
        <v>24750</v>
      </c>
      <c r="I1130" s="5">
        <f>IF(F1130&lt;&gt;0, ((F1130-G1130)/F1130)*100, 0)</f>
        <v>100</v>
      </c>
    </row>
    <row r="1131" spans="1:9" customFormat="1" ht="14.5" x14ac:dyDescent="0.35">
      <c r="D1131" s="10"/>
      <c r="F1131" s="10"/>
      <c r="G1131" s="10"/>
      <c r="H1131" s="10"/>
      <c r="I1131" s="10"/>
    </row>
    <row r="1132" spans="1:9" x14ac:dyDescent="0.25">
      <c r="A1132" s="2" t="s">
        <v>492</v>
      </c>
      <c r="B1132" s="2" t="s">
        <v>493</v>
      </c>
      <c r="C1132" s="2" t="s">
        <v>11</v>
      </c>
      <c r="E1132" s="2" t="s">
        <v>11</v>
      </c>
      <c r="F1132" s="6">
        <v>57000</v>
      </c>
      <c r="H1132" s="6">
        <f>F1132-G1132</f>
        <v>57000</v>
      </c>
      <c r="I1132" s="6">
        <f>IF(F1132&lt;&gt;0, ((F1132-G1132)/F1132)*100, 0)</f>
        <v>100</v>
      </c>
    </row>
    <row r="1133" spans="1:9" x14ac:dyDescent="0.25">
      <c r="A1133" s="2" t="s">
        <v>492</v>
      </c>
      <c r="B1133" s="2" t="s">
        <v>493</v>
      </c>
      <c r="C1133" s="2" t="s">
        <v>11</v>
      </c>
      <c r="E1133" s="2" t="s">
        <v>11</v>
      </c>
      <c r="F1133" s="6">
        <v>184500</v>
      </c>
      <c r="H1133" s="6">
        <f>F1133-G1133</f>
        <v>184500</v>
      </c>
      <c r="I1133" s="6">
        <f>IF(F1133&lt;&gt;0, ((F1133-G1133)/F1133)*100, 0)</f>
        <v>100</v>
      </c>
    </row>
    <row r="1134" spans="1:9" customFormat="1" ht="14.5" x14ac:dyDescent="0.35">
      <c r="D1134" s="10"/>
      <c r="F1134" s="10"/>
      <c r="G1134" s="10"/>
      <c r="H1134" s="10"/>
      <c r="I1134" s="10"/>
    </row>
    <row r="1135" spans="1:9" s="4" customFormat="1" x14ac:dyDescent="0.25">
      <c r="A1135" s="3" t="s">
        <v>11</v>
      </c>
      <c r="B1135" s="3" t="s">
        <v>11</v>
      </c>
      <c r="C1135" s="3" t="s">
        <v>11</v>
      </c>
      <c r="D1135" s="5">
        <f>SUBTOTAL(9, D1132:D1134)</f>
        <v>0</v>
      </c>
      <c r="E1135" s="3" t="s">
        <v>11</v>
      </c>
      <c r="F1135" s="5">
        <f>SUBTOTAL(9, F1132:F1134)</f>
        <v>241500</v>
      </c>
      <c r="G1135" s="5">
        <f>SUBTOTAL(9, G1132:G1134)</f>
        <v>0</v>
      </c>
      <c r="H1135" s="5">
        <f>SUBTOTAL(9, H1132:H1134)</f>
        <v>241500</v>
      </c>
      <c r="I1135" s="5">
        <f>IF(F1135&lt;&gt;0, ((F1135-G1135)/F1135)*100, 0)</f>
        <v>100</v>
      </c>
    </row>
    <row r="1136" spans="1:9" customFormat="1" ht="14.5" x14ac:dyDescent="0.35">
      <c r="D1136" s="10"/>
      <c r="F1136" s="10"/>
      <c r="G1136" s="10"/>
      <c r="H1136" s="10"/>
      <c r="I1136" s="10"/>
    </row>
    <row r="1137" spans="1:9" x14ac:dyDescent="0.25">
      <c r="A1137" s="2" t="s">
        <v>494</v>
      </c>
      <c r="B1137" s="2" t="s">
        <v>495</v>
      </c>
      <c r="C1137" s="2" t="s">
        <v>11</v>
      </c>
      <c r="E1137" s="2" t="s">
        <v>11</v>
      </c>
      <c r="F1137" s="6">
        <v>2250</v>
      </c>
      <c r="H1137" s="6">
        <f>F1137-G1137</f>
        <v>2250</v>
      </c>
      <c r="I1137" s="6">
        <f>IF(F1137&lt;&gt;0, ((F1137-G1137)/F1137)*100, 0)</f>
        <v>100</v>
      </c>
    </row>
    <row r="1138" spans="1:9" x14ac:dyDescent="0.25">
      <c r="A1138" s="2" t="s">
        <v>494</v>
      </c>
      <c r="B1138" s="2" t="s">
        <v>495</v>
      </c>
      <c r="C1138" s="2" t="s">
        <v>11</v>
      </c>
      <c r="E1138" s="2" t="s">
        <v>11</v>
      </c>
      <c r="F1138" s="6">
        <v>11250</v>
      </c>
      <c r="H1138" s="6">
        <f>F1138-G1138</f>
        <v>11250</v>
      </c>
      <c r="I1138" s="6">
        <f>IF(F1138&lt;&gt;0, ((F1138-G1138)/F1138)*100, 0)</f>
        <v>100</v>
      </c>
    </row>
    <row r="1139" spans="1:9" x14ac:dyDescent="0.25">
      <c r="A1139" s="2" t="s">
        <v>494</v>
      </c>
      <c r="B1139" s="2" t="s">
        <v>495</v>
      </c>
      <c r="C1139" s="2" t="s">
        <v>11</v>
      </c>
      <c r="E1139" s="2" t="s">
        <v>11</v>
      </c>
      <c r="F1139" s="6">
        <v>6750</v>
      </c>
      <c r="H1139" s="6">
        <f>F1139-G1139</f>
        <v>6750</v>
      </c>
      <c r="I1139" s="6">
        <f>IF(F1139&lt;&gt;0, ((F1139-G1139)/F1139)*100, 0)</f>
        <v>100</v>
      </c>
    </row>
    <row r="1140" spans="1:9" customFormat="1" ht="14.5" x14ac:dyDescent="0.35">
      <c r="D1140" s="10"/>
      <c r="F1140" s="10"/>
      <c r="G1140" s="10"/>
      <c r="H1140" s="10"/>
      <c r="I1140" s="10"/>
    </row>
    <row r="1141" spans="1:9" s="4" customFormat="1" x14ac:dyDescent="0.25">
      <c r="A1141" s="3" t="s">
        <v>11</v>
      </c>
      <c r="B1141" s="3" t="s">
        <v>11</v>
      </c>
      <c r="C1141" s="3" t="s">
        <v>11</v>
      </c>
      <c r="D1141" s="5">
        <f>SUBTOTAL(9, D1137:D1140)</f>
        <v>0</v>
      </c>
      <c r="E1141" s="3" t="s">
        <v>11</v>
      </c>
      <c r="F1141" s="5">
        <f>SUBTOTAL(9, F1137:F1140)</f>
        <v>20250</v>
      </c>
      <c r="G1141" s="5">
        <f>SUBTOTAL(9, G1137:G1140)</f>
        <v>0</v>
      </c>
      <c r="H1141" s="5">
        <f>SUBTOTAL(9, H1137:H1140)</f>
        <v>20250</v>
      </c>
      <c r="I1141" s="5">
        <f>IF(F1141&lt;&gt;0, ((F1141-G1141)/F1141)*100, 0)</f>
        <v>100</v>
      </c>
    </row>
    <row r="1142" spans="1:9" customFormat="1" ht="14.5" x14ac:dyDescent="0.35">
      <c r="D1142" s="10"/>
      <c r="F1142" s="10"/>
      <c r="G1142" s="10"/>
      <c r="H1142" s="10"/>
      <c r="I1142" s="10"/>
    </row>
    <row r="1143" spans="1:9" x14ac:dyDescent="0.25">
      <c r="A1143" s="2" t="s">
        <v>496</v>
      </c>
      <c r="B1143" s="2" t="s">
        <v>497</v>
      </c>
      <c r="C1143" s="2" t="s">
        <v>11</v>
      </c>
      <c r="E1143" s="2" t="s">
        <v>11</v>
      </c>
      <c r="F1143" s="6">
        <v>102490.75</v>
      </c>
      <c r="H1143" s="6">
        <f>F1143-G1143</f>
        <v>102490.75</v>
      </c>
      <c r="I1143" s="6">
        <f>IF(F1143&lt;&gt;0, ((F1143-G1143)/F1143)*100, 0)</f>
        <v>100</v>
      </c>
    </row>
    <row r="1144" spans="1:9" customFormat="1" ht="14.5" x14ac:dyDescent="0.35">
      <c r="D1144" s="10"/>
      <c r="F1144" s="10"/>
      <c r="G1144" s="10"/>
      <c r="H1144" s="10"/>
      <c r="I1144" s="10"/>
    </row>
    <row r="1145" spans="1:9" s="4" customFormat="1" x14ac:dyDescent="0.25">
      <c r="A1145" s="3" t="s">
        <v>11</v>
      </c>
      <c r="B1145" s="3" t="s">
        <v>11</v>
      </c>
      <c r="C1145" s="3" t="s">
        <v>11</v>
      </c>
      <c r="D1145" s="5">
        <f>SUBTOTAL(9, D1143:D1144)</f>
        <v>0</v>
      </c>
      <c r="E1145" s="3" t="s">
        <v>11</v>
      </c>
      <c r="F1145" s="5">
        <f>SUBTOTAL(9, F1143:F1144)</f>
        <v>102490.75</v>
      </c>
      <c r="G1145" s="5">
        <f>SUBTOTAL(9, G1143:G1144)</f>
        <v>0</v>
      </c>
      <c r="H1145" s="5">
        <f>SUBTOTAL(9, H1143:H1144)</f>
        <v>102490.75</v>
      </c>
      <c r="I1145" s="5">
        <f>IF(F1145&lt;&gt;0, ((F1145-G1145)/F1145)*100, 0)</f>
        <v>100</v>
      </c>
    </row>
    <row r="1146" spans="1:9" customFormat="1" ht="14.5" x14ac:dyDescent="0.35">
      <c r="D1146" s="10"/>
      <c r="F1146" s="10"/>
      <c r="G1146" s="10"/>
      <c r="H1146" s="10"/>
      <c r="I1146" s="10"/>
    </row>
    <row r="1147" spans="1:9" x14ac:dyDescent="0.25">
      <c r="A1147" s="2" t="s">
        <v>498</v>
      </c>
      <c r="B1147" s="2" t="s">
        <v>499</v>
      </c>
      <c r="C1147" s="2" t="s">
        <v>11</v>
      </c>
      <c r="E1147" s="2" t="s">
        <v>11</v>
      </c>
      <c r="F1147" s="6">
        <v>100000</v>
      </c>
      <c r="H1147" s="6">
        <f>F1147-G1147</f>
        <v>100000</v>
      </c>
      <c r="I1147" s="6">
        <f>IF(F1147&lt;&gt;0, ((F1147-G1147)/F1147)*100, 0)</f>
        <v>100</v>
      </c>
    </row>
    <row r="1148" spans="1:9" x14ac:dyDescent="0.25">
      <c r="A1148" s="2" t="s">
        <v>498</v>
      </c>
      <c r="B1148" s="2" t="s">
        <v>499</v>
      </c>
      <c r="C1148" s="2" t="s">
        <v>11</v>
      </c>
      <c r="E1148" s="2" t="s">
        <v>11</v>
      </c>
      <c r="F1148" s="6">
        <v>100000</v>
      </c>
      <c r="H1148" s="6">
        <f>F1148-G1148</f>
        <v>100000</v>
      </c>
      <c r="I1148" s="6">
        <f>IF(F1148&lt;&gt;0, ((F1148-G1148)/F1148)*100, 0)</f>
        <v>100</v>
      </c>
    </row>
    <row r="1149" spans="1:9" customFormat="1" ht="14.5" x14ac:dyDescent="0.35">
      <c r="D1149" s="10"/>
      <c r="F1149" s="10"/>
      <c r="G1149" s="10"/>
      <c r="H1149" s="10"/>
      <c r="I1149" s="10"/>
    </row>
    <row r="1150" spans="1:9" s="4" customFormat="1" x14ac:dyDescent="0.25">
      <c r="A1150" s="3" t="s">
        <v>11</v>
      </c>
      <c r="B1150" s="3" t="s">
        <v>11</v>
      </c>
      <c r="C1150" s="3" t="s">
        <v>11</v>
      </c>
      <c r="D1150" s="5">
        <f>SUBTOTAL(9, D1147:D1149)</f>
        <v>0</v>
      </c>
      <c r="E1150" s="3" t="s">
        <v>11</v>
      </c>
      <c r="F1150" s="5">
        <f>SUBTOTAL(9, F1147:F1149)</f>
        <v>200000</v>
      </c>
      <c r="G1150" s="5">
        <f>SUBTOTAL(9, G1147:G1149)</f>
        <v>0</v>
      </c>
      <c r="H1150" s="5">
        <f>SUBTOTAL(9, H1147:H1149)</f>
        <v>200000</v>
      </c>
      <c r="I1150" s="5">
        <f>IF(F1150&lt;&gt;0, ((F1150-G1150)/F1150)*100, 0)</f>
        <v>100</v>
      </c>
    </row>
    <row r="1151" spans="1:9" customFormat="1" ht="14.5" x14ac:dyDescent="0.35">
      <c r="D1151" s="10"/>
      <c r="F1151" s="10"/>
      <c r="G1151" s="10"/>
      <c r="H1151" s="10"/>
      <c r="I1151" s="10"/>
    </row>
    <row r="1152" spans="1:9" x14ac:dyDescent="0.25">
      <c r="A1152" s="2" t="s">
        <v>500</v>
      </c>
      <c r="B1152" s="2" t="s">
        <v>501</v>
      </c>
      <c r="C1152" s="2" t="s">
        <v>11</v>
      </c>
      <c r="E1152" s="2" t="s">
        <v>11</v>
      </c>
      <c r="F1152" s="6">
        <v>100000</v>
      </c>
      <c r="H1152" s="6">
        <f>F1152-G1152</f>
        <v>100000</v>
      </c>
      <c r="I1152" s="6">
        <f>IF(F1152&lt;&gt;0, ((F1152-G1152)/F1152)*100, 0)</f>
        <v>100</v>
      </c>
    </row>
    <row r="1153" spans="1:9" customFormat="1" ht="14.5" x14ac:dyDescent="0.35">
      <c r="D1153" s="10"/>
      <c r="F1153" s="10"/>
      <c r="G1153" s="10"/>
      <c r="H1153" s="10"/>
      <c r="I1153" s="10"/>
    </row>
    <row r="1154" spans="1:9" s="4" customFormat="1" x14ac:dyDescent="0.25">
      <c r="A1154" s="3" t="s">
        <v>11</v>
      </c>
      <c r="B1154" s="3" t="s">
        <v>11</v>
      </c>
      <c r="C1154" s="3" t="s">
        <v>11</v>
      </c>
      <c r="D1154" s="5">
        <f>SUBTOTAL(9, D1152:D1153)</f>
        <v>0</v>
      </c>
      <c r="E1154" s="3" t="s">
        <v>11</v>
      </c>
      <c r="F1154" s="5">
        <f>SUBTOTAL(9, F1152:F1153)</f>
        <v>100000</v>
      </c>
      <c r="G1154" s="5">
        <f>SUBTOTAL(9, G1152:G1153)</f>
        <v>0</v>
      </c>
      <c r="H1154" s="5">
        <f>SUBTOTAL(9, H1152:H1153)</f>
        <v>100000</v>
      </c>
      <c r="I1154" s="5">
        <f>IF(F1154&lt;&gt;0, ((F1154-G1154)/F1154)*100, 0)</f>
        <v>100</v>
      </c>
    </row>
    <row r="1155" spans="1:9" customFormat="1" ht="14.5" x14ac:dyDescent="0.35">
      <c r="D1155" s="10"/>
      <c r="F1155" s="10"/>
      <c r="G1155" s="10"/>
      <c r="H1155" s="10"/>
      <c r="I1155" s="10"/>
    </row>
    <row r="1156" spans="1:9" x14ac:dyDescent="0.25">
      <c r="A1156" s="2" t="s">
        <v>502</v>
      </c>
      <c r="B1156" s="2" t="s">
        <v>503</v>
      </c>
      <c r="C1156" s="2" t="s">
        <v>11</v>
      </c>
      <c r="E1156" s="2" t="s">
        <v>11</v>
      </c>
      <c r="F1156" s="6">
        <v>1218000</v>
      </c>
      <c r="H1156" s="6">
        <f>F1156-G1156</f>
        <v>1218000</v>
      </c>
      <c r="I1156" s="6">
        <f>IF(F1156&lt;&gt;0, ((F1156-G1156)/F1156)*100, 0)</f>
        <v>100</v>
      </c>
    </row>
    <row r="1157" spans="1:9" customFormat="1" ht="14.5" x14ac:dyDescent="0.35">
      <c r="D1157" s="10"/>
      <c r="F1157" s="10"/>
      <c r="G1157" s="10"/>
      <c r="H1157" s="10"/>
      <c r="I1157" s="10"/>
    </row>
    <row r="1158" spans="1:9" s="4" customFormat="1" x14ac:dyDescent="0.25">
      <c r="A1158" s="3" t="s">
        <v>11</v>
      </c>
      <c r="B1158" s="3" t="s">
        <v>11</v>
      </c>
      <c r="C1158" s="3" t="s">
        <v>11</v>
      </c>
      <c r="D1158" s="5">
        <f>SUBTOTAL(9, D1156:D1157)</f>
        <v>0</v>
      </c>
      <c r="E1158" s="3" t="s">
        <v>11</v>
      </c>
      <c r="F1158" s="5">
        <f>SUBTOTAL(9, F1156:F1157)</f>
        <v>1218000</v>
      </c>
      <c r="G1158" s="5">
        <f>SUBTOTAL(9, G1156:G1157)</f>
        <v>0</v>
      </c>
      <c r="H1158" s="5">
        <f>SUBTOTAL(9, H1156:H1157)</f>
        <v>1218000</v>
      </c>
      <c r="I1158" s="5">
        <f>IF(F1158&lt;&gt;0, ((F1158-G1158)/F1158)*100, 0)</f>
        <v>100</v>
      </c>
    </row>
    <row r="1159" spans="1:9" customFormat="1" ht="14.5" x14ac:dyDescent="0.35">
      <c r="D1159" s="10"/>
      <c r="F1159" s="10"/>
      <c r="G1159" s="10"/>
      <c r="H1159" s="10"/>
      <c r="I1159" s="10"/>
    </row>
    <row r="1160" spans="1:9" x14ac:dyDescent="0.25">
      <c r="A1160" s="2" t="s">
        <v>504</v>
      </c>
      <c r="B1160" s="2" t="s">
        <v>505</v>
      </c>
      <c r="C1160" s="2" t="s">
        <v>11</v>
      </c>
      <c r="E1160" s="2" t="s">
        <v>11</v>
      </c>
      <c r="F1160" s="6">
        <v>4613514.6100000003</v>
      </c>
      <c r="H1160" s="6">
        <f>F1160-G1160</f>
        <v>4613514.6100000003</v>
      </c>
      <c r="I1160" s="6">
        <f>IF(F1160&lt;&gt;0, ((F1160-G1160)/F1160)*100, 0)</f>
        <v>100</v>
      </c>
    </row>
    <row r="1161" spans="1:9" x14ac:dyDescent="0.25">
      <c r="A1161" s="2" t="s">
        <v>504</v>
      </c>
      <c r="B1161" s="2" t="s">
        <v>505</v>
      </c>
      <c r="C1161" s="2" t="s">
        <v>11</v>
      </c>
      <c r="E1161" s="2" t="s">
        <v>11</v>
      </c>
      <c r="F1161" s="6">
        <v>258091.25</v>
      </c>
      <c r="H1161" s="6">
        <f>F1161-G1161</f>
        <v>258091.25</v>
      </c>
      <c r="I1161" s="6">
        <f>IF(F1161&lt;&gt;0, ((F1161-G1161)/F1161)*100, 0)</f>
        <v>100</v>
      </c>
    </row>
    <row r="1162" spans="1:9" x14ac:dyDescent="0.25">
      <c r="A1162" s="2" t="s">
        <v>504</v>
      </c>
      <c r="B1162" s="2" t="s">
        <v>505</v>
      </c>
      <c r="C1162" s="2" t="s">
        <v>11</v>
      </c>
      <c r="E1162" s="2" t="s">
        <v>11</v>
      </c>
      <c r="F1162" s="6">
        <v>142975</v>
      </c>
      <c r="H1162" s="6">
        <f>F1162-G1162</f>
        <v>142975</v>
      </c>
      <c r="I1162" s="6">
        <f>IF(F1162&lt;&gt;0, ((F1162-G1162)/F1162)*100, 0)</f>
        <v>100</v>
      </c>
    </row>
    <row r="1163" spans="1:9" x14ac:dyDescent="0.25">
      <c r="A1163" s="2" t="s">
        <v>504</v>
      </c>
      <c r="B1163" s="2" t="s">
        <v>505</v>
      </c>
      <c r="C1163" s="2" t="s">
        <v>11</v>
      </c>
      <c r="E1163" s="2" t="s">
        <v>11</v>
      </c>
      <c r="F1163" s="6">
        <v>348840</v>
      </c>
      <c r="H1163" s="6">
        <f>F1163-G1163</f>
        <v>348840</v>
      </c>
      <c r="I1163" s="6">
        <f>IF(F1163&lt;&gt;0, ((F1163-G1163)/F1163)*100, 0)</f>
        <v>100</v>
      </c>
    </row>
    <row r="1164" spans="1:9" x14ac:dyDescent="0.25">
      <c r="A1164" s="2" t="s">
        <v>504</v>
      </c>
      <c r="B1164" s="2" t="s">
        <v>505</v>
      </c>
      <c r="C1164" s="2" t="s">
        <v>11</v>
      </c>
      <c r="E1164" s="2" t="s">
        <v>11</v>
      </c>
      <c r="F1164" s="6">
        <v>112043</v>
      </c>
      <c r="H1164" s="6">
        <f>F1164-G1164</f>
        <v>112043</v>
      </c>
      <c r="I1164" s="6">
        <f>IF(F1164&lt;&gt;0, ((F1164-G1164)/F1164)*100, 0)</f>
        <v>100</v>
      </c>
    </row>
    <row r="1165" spans="1:9" x14ac:dyDescent="0.25">
      <c r="A1165" s="2" t="s">
        <v>504</v>
      </c>
      <c r="B1165" s="2" t="s">
        <v>505</v>
      </c>
      <c r="C1165" s="2" t="s">
        <v>11</v>
      </c>
      <c r="E1165" s="2" t="s">
        <v>11</v>
      </c>
      <c r="F1165" s="6">
        <v>1825710</v>
      </c>
      <c r="H1165" s="6">
        <f>F1165-G1165</f>
        <v>1825710</v>
      </c>
      <c r="I1165" s="6">
        <f>IF(F1165&lt;&gt;0, ((F1165-G1165)/F1165)*100, 0)</f>
        <v>100</v>
      </c>
    </row>
    <row r="1166" spans="1:9" x14ac:dyDescent="0.25">
      <c r="A1166" s="2" t="s">
        <v>504</v>
      </c>
      <c r="B1166" s="2" t="s">
        <v>505</v>
      </c>
      <c r="C1166" s="2" t="s">
        <v>11</v>
      </c>
      <c r="E1166" s="2" t="s">
        <v>11</v>
      </c>
      <c r="F1166" s="6">
        <v>7600</v>
      </c>
      <c r="H1166" s="6">
        <f>F1166-G1166</f>
        <v>7600</v>
      </c>
      <c r="I1166" s="6">
        <f>IF(F1166&lt;&gt;0, ((F1166-G1166)/F1166)*100, 0)</f>
        <v>100</v>
      </c>
    </row>
    <row r="1167" spans="1:9" x14ac:dyDescent="0.25">
      <c r="A1167" s="2" t="s">
        <v>504</v>
      </c>
      <c r="B1167" s="2" t="s">
        <v>505</v>
      </c>
      <c r="C1167" s="2" t="s">
        <v>11</v>
      </c>
      <c r="E1167" s="2" t="s">
        <v>11</v>
      </c>
      <c r="F1167" s="6">
        <v>9025</v>
      </c>
      <c r="H1167" s="6">
        <f>F1167-G1167</f>
        <v>9025</v>
      </c>
      <c r="I1167" s="6">
        <f>IF(F1167&lt;&gt;0, ((F1167-G1167)/F1167)*100, 0)</f>
        <v>100</v>
      </c>
    </row>
    <row r="1168" spans="1:9" customFormat="1" ht="14.5" x14ac:dyDescent="0.35">
      <c r="D1168" s="10"/>
      <c r="F1168" s="10"/>
      <c r="G1168" s="10"/>
      <c r="H1168" s="10"/>
      <c r="I1168" s="10"/>
    </row>
    <row r="1169" spans="1:9" s="4" customFormat="1" x14ac:dyDescent="0.25">
      <c r="A1169" s="3" t="s">
        <v>11</v>
      </c>
      <c r="B1169" s="3" t="s">
        <v>11</v>
      </c>
      <c r="C1169" s="3" t="s">
        <v>11</v>
      </c>
      <c r="D1169" s="5">
        <f>SUBTOTAL(9, D1160:D1168)</f>
        <v>0</v>
      </c>
      <c r="E1169" s="3" t="s">
        <v>11</v>
      </c>
      <c r="F1169" s="5">
        <f>SUBTOTAL(9, F1160:F1168)</f>
        <v>7317798.8600000003</v>
      </c>
      <c r="G1169" s="5">
        <f>SUBTOTAL(9, G1160:G1168)</f>
        <v>0</v>
      </c>
      <c r="H1169" s="5">
        <f>SUBTOTAL(9, H1160:H1168)</f>
        <v>7317798.8600000003</v>
      </c>
      <c r="I1169" s="5">
        <f>IF(F1169&lt;&gt;0, ((F1169-G1169)/F1169)*100, 0)</f>
        <v>100</v>
      </c>
    </row>
    <row r="1170" spans="1:9" customFormat="1" ht="14.5" x14ac:dyDescent="0.35">
      <c r="D1170" s="10"/>
      <c r="F1170" s="10"/>
      <c r="G1170" s="10"/>
      <c r="H1170" s="10"/>
      <c r="I1170" s="10"/>
    </row>
    <row r="1171" spans="1:9" x14ac:dyDescent="0.25">
      <c r="A1171" s="2" t="s">
        <v>506</v>
      </c>
      <c r="B1171" s="2" t="s">
        <v>507</v>
      </c>
      <c r="C1171" s="2" t="s">
        <v>11</v>
      </c>
      <c r="E1171" s="2" t="s">
        <v>11</v>
      </c>
      <c r="F1171" s="6">
        <v>2943291</v>
      </c>
      <c r="H1171" s="6">
        <f>F1171-G1171</f>
        <v>2943291</v>
      </c>
      <c r="I1171" s="6">
        <f>IF(F1171&lt;&gt;0, ((F1171-G1171)/F1171)*100, 0)</f>
        <v>100</v>
      </c>
    </row>
    <row r="1172" spans="1:9" x14ac:dyDescent="0.25">
      <c r="A1172" s="2" t="s">
        <v>506</v>
      </c>
      <c r="B1172" s="2" t="s">
        <v>507</v>
      </c>
      <c r="C1172" s="2" t="s">
        <v>11</v>
      </c>
      <c r="E1172" s="2" t="s">
        <v>11</v>
      </c>
      <c r="F1172" s="6">
        <v>1359324.2</v>
      </c>
      <c r="H1172" s="6">
        <f>F1172-G1172</f>
        <v>1359324.2</v>
      </c>
      <c r="I1172" s="6">
        <f>IF(F1172&lt;&gt;0, ((F1172-G1172)/F1172)*100, 0)</f>
        <v>100</v>
      </c>
    </row>
    <row r="1173" spans="1:9" customFormat="1" ht="14.5" x14ac:dyDescent="0.35">
      <c r="D1173" s="10"/>
      <c r="F1173" s="10"/>
      <c r="G1173" s="10"/>
      <c r="H1173" s="10"/>
      <c r="I1173" s="10"/>
    </row>
    <row r="1174" spans="1:9" s="4" customFormat="1" x14ac:dyDescent="0.25">
      <c r="A1174" s="3" t="s">
        <v>11</v>
      </c>
      <c r="B1174" s="3" t="s">
        <v>11</v>
      </c>
      <c r="C1174" s="3" t="s">
        <v>11</v>
      </c>
      <c r="D1174" s="5">
        <f>SUBTOTAL(9, D1171:D1173)</f>
        <v>0</v>
      </c>
      <c r="E1174" s="3" t="s">
        <v>11</v>
      </c>
      <c r="F1174" s="5">
        <f>SUBTOTAL(9, F1171:F1173)</f>
        <v>4302615.2</v>
      </c>
      <c r="G1174" s="5">
        <f>SUBTOTAL(9, G1171:G1173)</f>
        <v>0</v>
      </c>
      <c r="H1174" s="5">
        <f>SUBTOTAL(9, H1171:H1173)</f>
        <v>4302615.2</v>
      </c>
      <c r="I1174" s="5">
        <f>IF(F1174&lt;&gt;0, ((F1174-G1174)/F1174)*100, 0)</f>
        <v>100</v>
      </c>
    </row>
    <row r="1175" spans="1:9" customFormat="1" ht="14.5" x14ac:dyDescent="0.35">
      <c r="D1175" s="10"/>
      <c r="F1175" s="10"/>
      <c r="G1175" s="10"/>
      <c r="H1175" s="10"/>
      <c r="I1175" s="10"/>
    </row>
    <row r="1176" spans="1:9" x14ac:dyDescent="0.25">
      <c r="A1176" s="2" t="s">
        <v>508</v>
      </c>
      <c r="B1176" s="2" t="s">
        <v>509</v>
      </c>
      <c r="C1176" s="2" t="s">
        <v>11</v>
      </c>
      <c r="E1176" s="2" t="s">
        <v>11</v>
      </c>
      <c r="F1176" s="6">
        <v>758205</v>
      </c>
      <c r="H1176" s="6">
        <f>F1176-G1176</f>
        <v>758205</v>
      </c>
      <c r="I1176" s="6">
        <f>IF(F1176&lt;&gt;0, ((F1176-G1176)/F1176)*100, 0)</f>
        <v>100</v>
      </c>
    </row>
    <row r="1177" spans="1:9" x14ac:dyDescent="0.25">
      <c r="A1177" s="2" t="s">
        <v>508</v>
      </c>
      <c r="B1177" s="2" t="s">
        <v>509</v>
      </c>
      <c r="C1177" s="2" t="s">
        <v>11</v>
      </c>
      <c r="E1177" s="2" t="s">
        <v>11</v>
      </c>
      <c r="F1177" s="6">
        <v>4828680</v>
      </c>
      <c r="H1177" s="6">
        <f>F1177-G1177</f>
        <v>4828680</v>
      </c>
      <c r="I1177" s="6">
        <f>IF(F1177&lt;&gt;0, ((F1177-G1177)/F1177)*100, 0)</f>
        <v>100</v>
      </c>
    </row>
    <row r="1178" spans="1:9" customFormat="1" ht="14.5" x14ac:dyDescent="0.35">
      <c r="D1178" s="10"/>
      <c r="F1178" s="10"/>
      <c r="G1178" s="10"/>
      <c r="H1178" s="10"/>
      <c r="I1178" s="10"/>
    </row>
    <row r="1179" spans="1:9" s="4" customFormat="1" x14ac:dyDescent="0.25">
      <c r="A1179" s="3" t="s">
        <v>11</v>
      </c>
      <c r="B1179" s="3" t="s">
        <v>11</v>
      </c>
      <c r="C1179" s="3" t="s">
        <v>11</v>
      </c>
      <c r="D1179" s="5">
        <f>SUBTOTAL(9, D1176:D1178)</f>
        <v>0</v>
      </c>
      <c r="E1179" s="3" t="s">
        <v>11</v>
      </c>
      <c r="F1179" s="5">
        <f>SUBTOTAL(9, F1176:F1178)</f>
        <v>5586885</v>
      </c>
      <c r="G1179" s="5">
        <f>SUBTOTAL(9, G1176:G1178)</f>
        <v>0</v>
      </c>
      <c r="H1179" s="5">
        <f>SUBTOTAL(9, H1176:H1178)</f>
        <v>5586885</v>
      </c>
      <c r="I1179" s="5">
        <f>IF(F1179&lt;&gt;0, ((F1179-G1179)/F1179)*100, 0)</f>
        <v>100</v>
      </c>
    </row>
    <row r="1180" spans="1:9" customFormat="1" ht="14.5" x14ac:dyDescent="0.35">
      <c r="D1180" s="10"/>
      <c r="F1180" s="10"/>
      <c r="G1180" s="10"/>
      <c r="H1180" s="10"/>
      <c r="I1180" s="10"/>
    </row>
    <row r="1181" spans="1:9" x14ac:dyDescent="0.25">
      <c r="A1181" s="2" t="s">
        <v>510</v>
      </c>
      <c r="B1181" s="2" t="s">
        <v>511</v>
      </c>
      <c r="C1181" s="2" t="s">
        <v>11</v>
      </c>
      <c r="E1181" s="2" t="s">
        <v>11</v>
      </c>
      <c r="F1181" s="6">
        <v>8075</v>
      </c>
      <c r="H1181" s="6">
        <f>F1181-G1181</f>
        <v>8075</v>
      </c>
      <c r="I1181" s="6">
        <f>IF(F1181&lt;&gt;0, ((F1181-G1181)/F1181)*100, 0)</f>
        <v>100</v>
      </c>
    </row>
    <row r="1182" spans="1:9" customFormat="1" ht="14.5" x14ac:dyDescent="0.35">
      <c r="D1182" s="10"/>
      <c r="F1182" s="10"/>
      <c r="G1182" s="10"/>
      <c r="H1182" s="10"/>
      <c r="I1182" s="10"/>
    </row>
    <row r="1183" spans="1:9" s="4" customFormat="1" x14ac:dyDescent="0.25">
      <c r="A1183" s="3" t="s">
        <v>11</v>
      </c>
      <c r="B1183" s="3" t="s">
        <v>11</v>
      </c>
      <c r="C1183" s="3" t="s">
        <v>11</v>
      </c>
      <c r="D1183" s="5">
        <f>SUBTOTAL(9, D1181:D1182)</f>
        <v>0</v>
      </c>
      <c r="E1183" s="3" t="s">
        <v>11</v>
      </c>
      <c r="F1183" s="5">
        <f>SUBTOTAL(9, F1181:F1182)</f>
        <v>8075</v>
      </c>
      <c r="G1183" s="5">
        <f>SUBTOTAL(9, G1181:G1182)</f>
        <v>0</v>
      </c>
      <c r="H1183" s="5">
        <f>SUBTOTAL(9, H1181:H1182)</f>
        <v>8075</v>
      </c>
      <c r="I1183" s="5">
        <f>IF(F1183&lt;&gt;0, ((F1183-G1183)/F1183)*100, 0)</f>
        <v>100</v>
      </c>
    </row>
    <row r="1184" spans="1:9" customFormat="1" ht="14.5" x14ac:dyDescent="0.35">
      <c r="D1184" s="10"/>
      <c r="F1184" s="10"/>
      <c r="G1184" s="10"/>
      <c r="H1184" s="10"/>
      <c r="I1184" s="10"/>
    </row>
    <row r="1185" spans="1:9" x14ac:dyDescent="0.25">
      <c r="A1185" s="2" t="s">
        <v>512</v>
      </c>
      <c r="B1185" s="2" t="s">
        <v>513</v>
      </c>
      <c r="C1185" s="2" t="s">
        <v>11</v>
      </c>
      <c r="E1185" s="2" t="s">
        <v>11</v>
      </c>
      <c r="F1185" s="6">
        <v>2831680</v>
      </c>
      <c r="H1185" s="6">
        <f>F1185-G1185</f>
        <v>2831680</v>
      </c>
      <c r="I1185" s="6">
        <f>IF(F1185&lt;&gt;0, ((F1185-G1185)/F1185)*100, 0)</f>
        <v>100</v>
      </c>
    </row>
    <row r="1186" spans="1:9" customFormat="1" ht="14.5" x14ac:dyDescent="0.35">
      <c r="D1186" s="10"/>
      <c r="F1186" s="10"/>
      <c r="G1186" s="10"/>
      <c r="H1186" s="10"/>
      <c r="I1186" s="10"/>
    </row>
    <row r="1187" spans="1:9" s="4" customFormat="1" x14ac:dyDescent="0.25">
      <c r="A1187" s="3" t="s">
        <v>11</v>
      </c>
      <c r="B1187" s="3" t="s">
        <v>11</v>
      </c>
      <c r="C1187" s="3" t="s">
        <v>11</v>
      </c>
      <c r="D1187" s="5">
        <f>SUBTOTAL(9, D1185:D1186)</f>
        <v>0</v>
      </c>
      <c r="E1187" s="3" t="s">
        <v>11</v>
      </c>
      <c r="F1187" s="5">
        <f>SUBTOTAL(9, F1185:F1186)</f>
        <v>2831680</v>
      </c>
      <c r="G1187" s="5">
        <f>SUBTOTAL(9, G1185:G1186)</f>
        <v>0</v>
      </c>
      <c r="H1187" s="5">
        <f>SUBTOTAL(9, H1185:H1186)</f>
        <v>2831680</v>
      </c>
      <c r="I1187" s="5">
        <f>IF(F1187&lt;&gt;0, ((F1187-G1187)/F1187)*100, 0)</f>
        <v>100</v>
      </c>
    </row>
    <row r="1188" spans="1:9" customFormat="1" ht="14.5" x14ac:dyDescent="0.35">
      <c r="D1188" s="10"/>
      <c r="F1188" s="10"/>
      <c r="G1188" s="10"/>
      <c r="H1188" s="10"/>
      <c r="I1188" s="10"/>
    </row>
    <row r="1189" spans="1:9" x14ac:dyDescent="0.25">
      <c r="A1189" s="2" t="s">
        <v>514</v>
      </c>
      <c r="B1189" s="2" t="s">
        <v>515</v>
      </c>
      <c r="C1189" s="2" t="s">
        <v>11</v>
      </c>
      <c r="E1189" s="2" t="s">
        <v>11</v>
      </c>
      <c r="F1189" s="6">
        <v>900</v>
      </c>
      <c r="H1189" s="6">
        <f>F1189-G1189</f>
        <v>900</v>
      </c>
      <c r="I1189" s="6">
        <f>IF(F1189&lt;&gt;0, ((F1189-G1189)/F1189)*100, 0)</f>
        <v>100</v>
      </c>
    </row>
    <row r="1190" spans="1:9" customFormat="1" ht="14.5" x14ac:dyDescent="0.35">
      <c r="D1190" s="10"/>
      <c r="F1190" s="10"/>
      <c r="G1190" s="10"/>
      <c r="H1190" s="10"/>
      <c r="I1190" s="10"/>
    </row>
    <row r="1191" spans="1:9" s="4" customFormat="1" x14ac:dyDescent="0.25">
      <c r="A1191" s="3" t="s">
        <v>11</v>
      </c>
      <c r="B1191" s="3" t="s">
        <v>11</v>
      </c>
      <c r="C1191" s="3" t="s">
        <v>11</v>
      </c>
      <c r="D1191" s="5">
        <f>SUBTOTAL(9, D1189:D1190)</f>
        <v>0</v>
      </c>
      <c r="E1191" s="3" t="s">
        <v>11</v>
      </c>
      <c r="F1191" s="5">
        <f>SUBTOTAL(9, F1189:F1190)</f>
        <v>900</v>
      </c>
      <c r="G1191" s="5">
        <f>SUBTOTAL(9, G1189:G1190)</f>
        <v>0</v>
      </c>
      <c r="H1191" s="5">
        <f>SUBTOTAL(9, H1189:H1190)</f>
        <v>900</v>
      </c>
      <c r="I1191" s="5">
        <f>IF(F1191&lt;&gt;0, ((F1191-G1191)/F1191)*100, 0)</f>
        <v>100</v>
      </c>
    </row>
    <row r="1192" spans="1:9" customFormat="1" ht="14.5" x14ac:dyDescent="0.35">
      <c r="D1192" s="10"/>
      <c r="F1192" s="10"/>
      <c r="G1192" s="10"/>
      <c r="H1192" s="10"/>
      <c r="I1192" s="10"/>
    </row>
    <row r="1193" spans="1:9" x14ac:dyDescent="0.25">
      <c r="A1193" s="2" t="s">
        <v>516</v>
      </c>
      <c r="B1193" s="2" t="s">
        <v>517</v>
      </c>
      <c r="C1193" s="2" t="s">
        <v>11</v>
      </c>
      <c r="E1193" s="2" t="s">
        <v>11</v>
      </c>
      <c r="F1193" s="6">
        <v>4206790</v>
      </c>
      <c r="H1193" s="6">
        <f>F1193-G1193</f>
        <v>4206790</v>
      </c>
      <c r="I1193" s="6">
        <f>IF(F1193&lt;&gt;0, ((F1193-G1193)/F1193)*100, 0)</f>
        <v>100</v>
      </c>
    </row>
    <row r="1194" spans="1:9" x14ac:dyDescent="0.25">
      <c r="A1194" s="2" t="s">
        <v>516</v>
      </c>
      <c r="B1194" s="2" t="s">
        <v>517</v>
      </c>
      <c r="C1194" s="2" t="s">
        <v>11</v>
      </c>
      <c r="E1194" s="2" t="s">
        <v>11</v>
      </c>
      <c r="F1194" s="6">
        <v>33537007</v>
      </c>
      <c r="H1194" s="6">
        <f>F1194-G1194</f>
        <v>33537007</v>
      </c>
      <c r="I1194" s="6">
        <f>IF(F1194&lt;&gt;0, ((F1194-G1194)/F1194)*100, 0)</f>
        <v>100</v>
      </c>
    </row>
    <row r="1195" spans="1:9" customFormat="1" ht="14.5" x14ac:dyDescent="0.35">
      <c r="D1195" s="10"/>
      <c r="F1195" s="10"/>
      <c r="G1195" s="10"/>
      <c r="H1195" s="10"/>
      <c r="I1195" s="10"/>
    </row>
    <row r="1196" spans="1:9" s="4" customFormat="1" x14ac:dyDescent="0.25">
      <c r="A1196" s="3" t="s">
        <v>11</v>
      </c>
      <c r="B1196" s="3" t="s">
        <v>11</v>
      </c>
      <c r="C1196" s="3" t="s">
        <v>11</v>
      </c>
      <c r="D1196" s="5">
        <f>SUBTOTAL(9, D1193:D1195)</f>
        <v>0</v>
      </c>
      <c r="E1196" s="3" t="s">
        <v>11</v>
      </c>
      <c r="F1196" s="5">
        <f>SUBTOTAL(9, F1193:F1195)</f>
        <v>37743797</v>
      </c>
      <c r="G1196" s="5">
        <f>SUBTOTAL(9, G1193:G1195)</f>
        <v>0</v>
      </c>
      <c r="H1196" s="5">
        <f>SUBTOTAL(9, H1193:H1195)</f>
        <v>37743797</v>
      </c>
      <c r="I1196" s="5">
        <f>IF(F1196&lt;&gt;0, ((F1196-G1196)/F1196)*100, 0)</f>
        <v>100</v>
      </c>
    </row>
    <row r="1197" spans="1:9" customFormat="1" ht="14.5" x14ac:dyDescent="0.35">
      <c r="D1197" s="10"/>
      <c r="F1197" s="10"/>
      <c r="G1197" s="10"/>
      <c r="H1197" s="10"/>
      <c r="I1197" s="10"/>
    </row>
    <row r="1198" spans="1:9" x14ac:dyDescent="0.25">
      <c r="A1198" s="2" t="s">
        <v>518</v>
      </c>
      <c r="B1198" s="2" t="s">
        <v>519</v>
      </c>
      <c r="C1198" s="2" t="s">
        <v>11</v>
      </c>
      <c r="E1198" s="2" t="s">
        <v>11</v>
      </c>
      <c r="F1198" s="6">
        <v>3719300</v>
      </c>
      <c r="H1198" s="6">
        <f>F1198-G1198</f>
        <v>3719300</v>
      </c>
      <c r="I1198" s="6">
        <f>IF(F1198&lt;&gt;0, ((F1198-G1198)/F1198)*100, 0)</f>
        <v>100</v>
      </c>
    </row>
    <row r="1199" spans="1:9" x14ac:dyDescent="0.25">
      <c r="A1199" s="2" t="s">
        <v>518</v>
      </c>
      <c r="B1199" s="2" t="s">
        <v>519</v>
      </c>
      <c r="C1199" s="2" t="s">
        <v>11</v>
      </c>
      <c r="E1199" s="2" t="s">
        <v>11</v>
      </c>
      <c r="F1199" s="6">
        <v>114500</v>
      </c>
      <c r="H1199" s="6">
        <f>F1199-G1199</f>
        <v>114500</v>
      </c>
      <c r="I1199" s="6">
        <f>IF(F1199&lt;&gt;0, ((F1199-G1199)/F1199)*100, 0)</f>
        <v>100</v>
      </c>
    </row>
    <row r="1200" spans="1:9" x14ac:dyDescent="0.25">
      <c r="A1200" s="2" t="s">
        <v>518</v>
      </c>
      <c r="B1200" s="2" t="s">
        <v>519</v>
      </c>
      <c r="C1200" s="2" t="s">
        <v>11</v>
      </c>
      <c r="E1200" s="2" t="s">
        <v>11</v>
      </c>
      <c r="F1200" s="6">
        <v>25050</v>
      </c>
      <c r="H1200" s="6">
        <f>F1200-G1200</f>
        <v>25050</v>
      </c>
      <c r="I1200" s="6">
        <f>IF(F1200&lt;&gt;0, ((F1200-G1200)/F1200)*100, 0)</f>
        <v>100</v>
      </c>
    </row>
    <row r="1201" spans="1:9" x14ac:dyDescent="0.25">
      <c r="A1201" s="2" t="s">
        <v>518</v>
      </c>
      <c r="B1201" s="2" t="s">
        <v>519</v>
      </c>
      <c r="C1201" s="2" t="s">
        <v>11</v>
      </c>
      <c r="E1201" s="2" t="s">
        <v>11</v>
      </c>
      <c r="F1201" s="6">
        <v>2565900</v>
      </c>
      <c r="H1201" s="6">
        <f>F1201-G1201</f>
        <v>2565900</v>
      </c>
      <c r="I1201" s="6">
        <f>IF(F1201&lt;&gt;0, ((F1201-G1201)/F1201)*100, 0)</f>
        <v>100</v>
      </c>
    </row>
    <row r="1202" spans="1:9" x14ac:dyDescent="0.25">
      <c r="A1202" s="2" t="s">
        <v>518</v>
      </c>
      <c r="B1202" s="2" t="s">
        <v>519</v>
      </c>
      <c r="C1202" s="2" t="s">
        <v>11</v>
      </c>
      <c r="E1202" s="2" t="s">
        <v>11</v>
      </c>
      <c r="F1202" s="6">
        <v>59000</v>
      </c>
      <c r="H1202" s="6">
        <f>F1202-G1202</f>
        <v>59000</v>
      </c>
      <c r="I1202" s="6">
        <f>IF(F1202&lt;&gt;0, ((F1202-G1202)/F1202)*100, 0)</f>
        <v>100</v>
      </c>
    </row>
    <row r="1203" spans="1:9" x14ac:dyDescent="0.25">
      <c r="A1203" s="2" t="s">
        <v>518</v>
      </c>
      <c r="B1203" s="2" t="s">
        <v>519</v>
      </c>
      <c r="C1203" s="2" t="s">
        <v>11</v>
      </c>
      <c r="E1203" s="2" t="s">
        <v>11</v>
      </c>
      <c r="F1203" s="6">
        <v>18560200</v>
      </c>
      <c r="H1203" s="6">
        <f>F1203-G1203</f>
        <v>18560200</v>
      </c>
      <c r="I1203" s="6">
        <f>IF(F1203&lt;&gt;0, ((F1203-G1203)/F1203)*100, 0)</f>
        <v>100</v>
      </c>
    </row>
    <row r="1204" spans="1:9" x14ac:dyDescent="0.25">
      <c r="A1204" s="2" t="s">
        <v>518</v>
      </c>
      <c r="B1204" s="2" t="s">
        <v>519</v>
      </c>
      <c r="C1204" s="2" t="s">
        <v>11</v>
      </c>
      <c r="E1204" s="2" t="s">
        <v>11</v>
      </c>
      <c r="F1204" s="6">
        <v>20500</v>
      </c>
      <c r="H1204" s="6">
        <f>F1204-G1204</f>
        <v>20500</v>
      </c>
      <c r="I1204" s="6">
        <f>IF(F1204&lt;&gt;0, ((F1204-G1204)/F1204)*100, 0)</f>
        <v>100</v>
      </c>
    </row>
    <row r="1205" spans="1:9" x14ac:dyDescent="0.25">
      <c r="A1205" s="2" t="s">
        <v>518</v>
      </c>
      <c r="B1205" s="2" t="s">
        <v>519</v>
      </c>
      <c r="C1205" s="2" t="s">
        <v>11</v>
      </c>
      <c r="E1205" s="2" t="s">
        <v>11</v>
      </c>
      <c r="F1205" s="6">
        <v>54000</v>
      </c>
      <c r="H1205" s="6">
        <f>F1205-G1205</f>
        <v>54000</v>
      </c>
      <c r="I1205" s="6">
        <f>IF(F1205&lt;&gt;0, ((F1205-G1205)/F1205)*100, 0)</f>
        <v>100</v>
      </c>
    </row>
    <row r="1206" spans="1:9" x14ac:dyDescent="0.25">
      <c r="A1206" s="2" t="s">
        <v>518</v>
      </c>
      <c r="B1206" s="2" t="s">
        <v>519</v>
      </c>
      <c r="C1206" s="2" t="s">
        <v>11</v>
      </c>
      <c r="E1206" s="2" t="s">
        <v>11</v>
      </c>
      <c r="F1206" s="6">
        <v>65000</v>
      </c>
      <c r="H1206" s="6">
        <f>F1206-G1206</f>
        <v>65000</v>
      </c>
      <c r="I1206" s="6">
        <f>IF(F1206&lt;&gt;0, ((F1206-G1206)/F1206)*100, 0)</f>
        <v>100</v>
      </c>
    </row>
    <row r="1207" spans="1:9" x14ac:dyDescent="0.25">
      <c r="A1207" s="2" t="s">
        <v>518</v>
      </c>
      <c r="B1207" s="2" t="s">
        <v>519</v>
      </c>
      <c r="C1207" s="2" t="s">
        <v>11</v>
      </c>
      <c r="E1207" s="2" t="s">
        <v>11</v>
      </c>
      <c r="F1207" s="6">
        <v>192000</v>
      </c>
      <c r="H1207" s="6">
        <f>F1207-G1207</f>
        <v>192000</v>
      </c>
      <c r="I1207" s="6">
        <f>IF(F1207&lt;&gt;0, ((F1207-G1207)/F1207)*100, 0)</f>
        <v>100</v>
      </c>
    </row>
    <row r="1208" spans="1:9" x14ac:dyDescent="0.25">
      <c r="A1208" s="2" t="s">
        <v>518</v>
      </c>
      <c r="B1208" s="2" t="s">
        <v>519</v>
      </c>
      <c r="C1208" s="2" t="s">
        <v>11</v>
      </c>
      <c r="E1208" s="2" t="s">
        <v>11</v>
      </c>
      <c r="F1208" s="6">
        <v>20791100</v>
      </c>
      <c r="H1208" s="6">
        <f>F1208-G1208</f>
        <v>20791100</v>
      </c>
      <c r="I1208" s="6">
        <f>IF(F1208&lt;&gt;0, ((F1208-G1208)/F1208)*100, 0)</f>
        <v>100</v>
      </c>
    </row>
    <row r="1209" spans="1:9" x14ac:dyDescent="0.25">
      <c r="A1209" s="2" t="s">
        <v>518</v>
      </c>
      <c r="B1209" s="2" t="s">
        <v>519</v>
      </c>
      <c r="C1209" s="2" t="s">
        <v>11</v>
      </c>
      <c r="E1209" s="2" t="s">
        <v>11</v>
      </c>
      <c r="F1209" s="6">
        <v>7000</v>
      </c>
      <c r="H1209" s="6">
        <f>F1209-G1209</f>
        <v>7000</v>
      </c>
      <c r="I1209" s="6">
        <f>IF(F1209&lt;&gt;0, ((F1209-G1209)/F1209)*100, 0)</f>
        <v>100</v>
      </c>
    </row>
    <row r="1210" spans="1:9" x14ac:dyDescent="0.25">
      <c r="A1210" s="2" t="s">
        <v>518</v>
      </c>
      <c r="B1210" s="2" t="s">
        <v>519</v>
      </c>
      <c r="C1210" s="2" t="s">
        <v>11</v>
      </c>
      <c r="E1210" s="2" t="s">
        <v>11</v>
      </c>
      <c r="F1210" s="6">
        <v>16000</v>
      </c>
      <c r="H1210" s="6">
        <f>F1210-G1210</f>
        <v>16000</v>
      </c>
      <c r="I1210" s="6">
        <f>IF(F1210&lt;&gt;0, ((F1210-G1210)/F1210)*100, 0)</f>
        <v>100</v>
      </c>
    </row>
    <row r="1211" spans="1:9" x14ac:dyDescent="0.25">
      <c r="A1211" s="2" t="s">
        <v>518</v>
      </c>
      <c r="B1211" s="2" t="s">
        <v>519</v>
      </c>
      <c r="C1211" s="2" t="s">
        <v>11</v>
      </c>
      <c r="E1211" s="2" t="s">
        <v>11</v>
      </c>
      <c r="F1211" s="6">
        <v>393000</v>
      </c>
      <c r="H1211" s="6">
        <f>F1211-G1211</f>
        <v>393000</v>
      </c>
      <c r="I1211" s="6">
        <f>IF(F1211&lt;&gt;0, ((F1211-G1211)/F1211)*100, 0)</f>
        <v>100</v>
      </c>
    </row>
    <row r="1212" spans="1:9" x14ac:dyDescent="0.25">
      <c r="A1212" s="2" t="s">
        <v>518</v>
      </c>
      <c r="B1212" s="2" t="s">
        <v>519</v>
      </c>
      <c r="C1212" s="2" t="s">
        <v>11</v>
      </c>
      <c r="E1212" s="2" t="s">
        <v>11</v>
      </c>
      <c r="F1212" s="6">
        <v>581500</v>
      </c>
      <c r="H1212" s="6">
        <f>F1212-G1212</f>
        <v>581500</v>
      </c>
      <c r="I1212" s="6">
        <f>IF(F1212&lt;&gt;0, ((F1212-G1212)/F1212)*100, 0)</f>
        <v>100</v>
      </c>
    </row>
    <row r="1213" spans="1:9" x14ac:dyDescent="0.25">
      <c r="A1213" s="2" t="s">
        <v>518</v>
      </c>
      <c r="B1213" s="2" t="s">
        <v>519</v>
      </c>
      <c r="C1213" s="2" t="s">
        <v>11</v>
      </c>
      <c r="E1213" s="2" t="s">
        <v>11</v>
      </c>
      <c r="F1213" s="6">
        <v>308500</v>
      </c>
      <c r="H1213" s="6">
        <f>F1213-G1213</f>
        <v>308500</v>
      </c>
      <c r="I1213" s="6">
        <f>IF(F1213&lt;&gt;0, ((F1213-G1213)/F1213)*100, 0)</f>
        <v>100</v>
      </c>
    </row>
    <row r="1214" spans="1:9" x14ac:dyDescent="0.25">
      <c r="A1214" s="2" t="s">
        <v>518</v>
      </c>
      <c r="B1214" s="2" t="s">
        <v>519</v>
      </c>
      <c r="C1214" s="2" t="s">
        <v>11</v>
      </c>
      <c r="E1214" s="2" t="s">
        <v>11</v>
      </c>
      <c r="F1214" s="6">
        <v>296000</v>
      </c>
      <c r="H1214" s="6">
        <f>F1214-G1214</f>
        <v>296000</v>
      </c>
      <c r="I1214" s="6">
        <f>IF(F1214&lt;&gt;0, ((F1214-G1214)/F1214)*100, 0)</f>
        <v>100</v>
      </c>
    </row>
    <row r="1215" spans="1:9" x14ac:dyDescent="0.25">
      <c r="A1215" s="2" t="s">
        <v>518</v>
      </c>
      <c r="B1215" s="2" t="s">
        <v>519</v>
      </c>
      <c r="C1215" s="2" t="s">
        <v>11</v>
      </c>
      <c r="E1215" s="2" t="s">
        <v>11</v>
      </c>
      <c r="F1215" s="6">
        <v>27000</v>
      </c>
      <c r="H1215" s="6">
        <f>F1215-G1215</f>
        <v>27000</v>
      </c>
      <c r="I1215" s="6">
        <f>IF(F1215&lt;&gt;0, ((F1215-G1215)/F1215)*100, 0)</f>
        <v>100</v>
      </c>
    </row>
    <row r="1216" spans="1:9" customFormat="1" ht="14.5" x14ac:dyDescent="0.35">
      <c r="D1216" s="10"/>
      <c r="F1216" s="10"/>
      <c r="G1216" s="10"/>
      <c r="H1216" s="10"/>
      <c r="I1216" s="10"/>
    </row>
    <row r="1217" spans="1:9" s="4" customFormat="1" x14ac:dyDescent="0.25">
      <c r="A1217" s="3" t="s">
        <v>11</v>
      </c>
      <c r="B1217" s="3" t="s">
        <v>11</v>
      </c>
      <c r="C1217" s="3" t="s">
        <v>11</v>
      </c>
      <c r="D1217" s="5">
        <f>SUBTOTAL(9, D1198:D1216)</f>
        <v>0</v>
      </c>
      <c r="E1217" s="3" t="s">
        <v>11</v>
      </c>
      <c r="F1217" s="5">
        <f>SUBTOTAL(9, F1198:F1216)</f>
        <v>47795550</v>
      </c>
      <c r="G1217" s="5">
        <f>SUBTOTAL(9, G1198:G1216)</f>
        <v>0</v>
      </c>
      <c r="H1217" s="5">
        <f>SUBTOTAL(9, H1198:H1216)</f>
        <v>47795550</v>
      </c>
      <c r="I1217" s="5">
        <f>IF(F1217&lt;&gt;0, ((F1217-G1217)/F1217)*100, 0)</f>
        <v>100</v>
      </c>
    </row>
    <row r="1218" spans="1:9" customFormat="1" ht="14.5" x14ac:dyDescent="0.35">
      <c r="D1218" s="10"/>
      <c r="F1218" s="10"/>
      <c r="G1218" s="10"/>
      <c r="H1218" s="10"/>
      <c r="I1218" s="10"/>
    </row>
    <row r="1219" spans="1:9" x14ac:dyDescent="0.25">
      <c r="A1219" s="2" t="s">
        <v>520</v>
      </c>
      <c r="B1219" s="2" t="s">
        <v>521</v>
      </c>
      <c r="C1219" s="2" t="s">
        <v>11</v>
      </c>
      <c r="E1219" s="2" t="s">
        <v>11</v>
      </c>
      <c r="F1219" s="6">
        <v>48630</v>
      </c>
      <c r="H1219" s="6">
        <f>F1219-G1219</f>
        <v>48630</v>
      </c>
      <c r="I1219" s="6">
        <f>IF(F1219&lt;&gt;0, ((F1219-G1219)/F1219)*100, 0)</f>
        <v>100</v>
      </c>
    </row>
    <row r="1220" spans="1:9" x14ac:dyDescent="0.25">
      <c r="A1220" s="2" t="s">
        <v>520</v>
      </c>
      <c r="B1220" s="2" t="s">
        <v>521</v>
      </c>
      <c r="C1220" s="2" t="s">
        <v>11</v>
      </c>
      <c r="E1220" s="2" t="s">
        <v>11</v>
      </c>
      <c r="F1220" s="6">
        <v>140720</v>
      </c>
      <c r="H1220" s="6">
        <f>F1220-G1220</f>
        <v>140720</v>
      </c>
      <c r="I1220" s="6">
        <f>IF(F1220&lt;&gt;0, ((F1220-G1220)/F1220)*100, 0)</f>
        <v>100</v>
      </c>
    </row>
    <row r="1221" spans="1:9" x14ac:dyDescent="0.25">
      <c r="A1221" s="2" t="s">
        <v>520</v>
      </c>
      <c r="B1221" s="2" t="s">
        <v>521</v>
      </c>
      <c r="C1221" s="2" t="s">
        <v>11</v>
      </c>
      <c r="E1221" s="2" t="s">
        <v>11</v>
      </c>
      <c r="F1221" s="6">
        <v>170100</v>
      </c>
      <c r="H1221" s="6">
        <f>F1221-G1221</f>
        <v>170100</v>
      </c>
      <c r="I1221" s="6">
        <f>IF(F1221&lt;&gt;0, ((F1221-G1221)/F1221)*100, 0)</f>
        <v>100</v>
      </c>
    </row>
    <row r="1222" spans="1:9" x14ac:dyDescent="0.25">
      <c r="A1222" s="2" t="s">
        <v>520</v>
      </c>
      <c r="B1222" s="2" t="s">
        <v>521</v>
      </c>
      <c r="C1222" s="2" t="s">
        <v>11</v>
      </c>
      <c r="E1222" s="2" t="s">
        <v>11</v>
      </c>
      <c r="F1222" s="6">
        <v>1230650</v>
      </c>
      <c r="H1222" s="6">
        <f>F1222-G1222</f>
        <v>1230650</v>
      </c>
      <c r="I1222" s="6">
        <f>IF(F1222&lt;&gt;0, ((F1222-G1222)/F1222)*100, 0)</f>
        <v>100</v>
      </c>
    </row>
    <row r="1223" spans="1:9" x14ac:dyDescent="0.25">
      <c r="A1223" s="2" t="s">
        <v>520</v>
      </c>
      <c r="B1223" s="2" t="s">
        <v>521</v>
      </c>
      <c r="C1223" s="2" t="s">
        <v>11</v>
      </c>
      <c r="E1223" s="2" t="s">
        <v>11</v>
      </c>
      <c r="F1223" s="6">
        <v>19000</v>
      </c>
      <c r="H1223" s="6">
        <f>F1223-G1223</f>
        <v>19000</v>
      </c>
      <c r="I1223" s="6">
        <f>IF(F1223&lt;&gt;0, ((F1223-G1223)/F1223)*100, 0)</f>
        <v>100</v>
      </c>
    </row>
    <row r="1224" spans="1:9" x14ac:dyDescent="0.25">
      <c r="A1224" s="2" t="s">
        <v>520</v>
      </c>
      <c r="B1224" s="2" t="s">
        <v>521</v>
      </c>
      <c r="C1224" s="2" t="s">
        <v>11</v>
      </c>
      <c r="E1224" s="2" t="s">
        <v>11</v>
      </c>
      <c r="F1224" s="6">
        <v>136961978</v>
      </c>
      <c r="H1224" s="6">
        <f>F1224-G1224</f>
        <v>136961978</v>
      </c>
      <c r="I1224" s="6">
        <f>IF(F1224&lt;&gt;0, ((F1224-G1224)/F1224)*100, 0)</f>
        <v>100</v>
      </c>
    </row>
    <row r="1225" spans="1:9" x14ac:dyDescent="0.25">
      <c r="A1225" s="2" t="s">
        <v>520</v>
      </c>
      <c r="B1225" s="2" t="s">
        <v>521</v>
      </c>
      <c r="C1225" s="2" t="s">
        <v>11</v>
      </c>
      <c r="E1225" s="2" t="s">
        <v>11</v>
      </c>
      <c r="F1225" s="6">
        <v>63830</v>
      </c>
      <c r="H1225" s="6">
        <f>F1225-G1225</f>
        <v>63830</v>
      </c>
      <c r="I1225" s="6">
        <f>IF(F1225&lt;&gt;0, ((F1225-G1225)/F1225)*100, 0)</f>
        <v>100</v>
      </c>
    </row>
    <row r="1226" spans="1:9" x14ac:dyDescent="0.25">
      <c r="A1226" s="2" t="s">
        <v>520</v>
      </c>
      <c r="B1226" s="2" t="s">
        <v>521</v>
      </c>
      <c r="C1226" s="2" t="s">
        <v>11</v>
      </c>
      <c r="E1226" s="2" t="s">
        <v>11</v>
      </c>
      <c r="F1226" s="6">
        <v>25000</v>
      </c>
      <c r="H1226" s="6">
        <f>F1226-G1226</f>
        <v>25000</v>
      </c>
      <c r="I1226" s="6">
        <f>IF(F1226&lt;&gt;0, ((F1226-G1226)/F1226)*100, 0)</f>
        <v>100</v>
      </c>
    </row>
    <row r="1227" spans="1:9" x14ac:dyDescent="0.25">
      <c r="A1227" s="2" t="s">
        <v>520</v>
      </c>
      <c r="B1227" s="2" t="s">
        <v>521</v>
      </c>
      <c r="C1227" s="2" t="s">
        <v>11</v>
      </c>
      <c r="E1227" s="2" t="s">
        <v>11</v>
      </c>
      <c r="F1227" s="6">
        <v>13000</v>
      </c>
      <c r="H1227" s="6">
        <f>F1227-G1227</f>
        <v>13000</v>
      </c>
      <c r="I1227" s="6">
        <f>IF(F1227&lt;&gt;0, ((F1227-G1227)/F1227)*100, 0)</f>
        <v>100</v>
      </c>
    </row>
    <row r="1228" spans="1:9" x14ac:dyDescent="0.25">
      <c r="A1228" s="2" t="s">
        <v>520</v>
      </c>
      <c r="B1228" s="2" t="s">
        <v>521</v>
      </c>
      <c r="C1228" s="2" t="s">
        <v>11</v>
      </c>
      <c r="E1228" s="2" t="s">
        <v>11</v>
      </c>
      <c r="F1228" s="6">
        <v>947200</v>
      </c>
      <c r="H1228" s="6">
        <f>F1228-G1228</f>
        <v>947200</v>
      </c>
      <c r="I1228" s="6">
        <f>IF(F1228&lt;&gt;0, ((F1228-G1228)/F1228)*100, 0)</f>
        <v>100</v>
      </c>
    </row>
    <row r="1229" spans="1:9" x14ac:dyDescent="0.25">
      <c r="A1229" s="2" t="s">
        <v>520</v>
      </c>
      <c r="B1229" s="2" t="s">
        <v>521</v>
      </c>
      <c r="C1229" s="2" t="s">
        <v>11</v>
      </c>
      <c r="E1229" s="2" t="s">
        <v>11</v>
      </c>
      <c r="F1229" s="6">
        <v>169100</v>
      </c>
      <c r="H1229" s="6">
        <f>F1229-G1229</f>
        <v>169100</v>
      </c>
      <c r="I1229" s="6">
        <f>IF(F1229&lt;&gt;0, ((F1229-G1229)/F1229)*100, 0)</f>
        <v>100</v>
      </c>
    </row>
    <row r="1230" spans="1:9" x14ac:dyDescent="0.25">
      <c r="A1230" s="2" t="s">
        <v>520</v>
      </c>
      <c r="B1230" s="2" t="s">
        <v>521</v>
      </c>
      <c r="C1230" s="2" t="s">
        <v>11</v>
      </c>
      <c r="E1230" s="2" t="s">
        <v>11</v>
      </c>
      <c r="F1230" s="6">
        <v>1483300</v>
      </c>
      <c r="H1230" s="6">
        <f>F1230-G1230</f>
        <v>1483300</v>
      </c>
      <c r="I1230" s="6">
        <f>IF(F1230&lt;&gt;0, ((F1230-G1230)/F1230)*100, 0)</f>
        <v>100</v>
      </c>
    </row>
    <row r="1231" spans="1:9" x14ac:dyDescent="0.25">
      <c r="A1231" s="2" t="s">
        <v>520</v>
      </c>
      <c r="B1231" s="2" t="s">
        <v>521</v>
      </c>
      <c r="C1231" s="2" t="s">
        <v>11</v>
      </c>
      <c r="E1231" s="2" t="s">
        <v>11</v>
      </c>
      <c r="F1231" s="6">
        <v>20000</v>
      </c>
      <c r="H1231" s="6">
        <f>F1231-G1231</f>
        <v>20000</v>
      </c>
      <c r="I1231" s="6">
        <f>IF(F1231&lt;&gt;0, ((F1231-G1231)/F1231)*100, 0)</f>
        <v>100</v>
      </c>
    </row>
    <row r="1232" spans="1:9" x14ac:dyDescent="0.25">
      <c r="A1232" s="2" t="s">
        <v>520</v>
      </c>
      <c r="B1232" s="2" t="s">
        <v>521</v>
      </c>
      <c r="C1232" s="2" t="s">
        <v>11</v>
      </c>
      <c r="E1232" s="2" t="s">
        <v>11</v>
      </c>
      <c r="F1232" s="6">
        <v>135700</v>
      </c>
      <c r="H1232" s="6">
        <f>F1232-G1232</f>
        <v>135700</v>
      </c>
      <c r="I1232" s="6">
        <f>IF(F1232&lt;&gt;0, ((F1232-G1232)/F1232)*100, 0)</f>
        <v>100</v>
      </c>
    </row>
    <row r="1233" spans="1:9" x14ac:dyDescent="0.25">
      <c r="A1233" s="2" t="s">
        <v>520</v>
      </c>
      <c r="B1233" s="2" t="s">
        <v>521</v>
      </c>
      <c r="C1233" s="2" t="s">
        <v>11</v>
      </c>
      <c r="E1233" s="2" t="s">
        <v>11</v>
      </c>
      <c r="F1233" s="6">
        <v>143200</v>
      </c>
      <c r="H1233" s="6">
        <f>F1233-G1233</f>
        <v>143200</v>
      </c>
      <c r="I1233" s="6">
        <f>IF(F1233&lt;&gt;0, ((F1233-G1233)/F1233)*100, 0)</f>
        <v>100</v>
      </c>
    </row>
    <row r="1234" spans="1:9" x14ac:dyDescent="0.25">
      <c r="A1234" s="2" t="s">
        <v>520</v>
      </c>
      <c r="B1234" s="2" t="s">
        <v>521</v>
      </c>
      <c r="C1234" s="2" t="s">
        <v>11</v>
      </c>
      <c r="E1234" s="2" t="s">
        <v>11</v>
      </c>
      <c r="F1234" s="6">
        <v>176300</v>
      </c>
      <c r="H1234" s="6">
        <f>F1234-G1234</f>
        <v>176300</v>
      </c>
      <c r="I1234" s="6">
        <f>IF(F1234&lt;&gt;0, ((F1234-G1234)/F1234)*100, 0)</f>
        <v>100</v>
      </c>
    </row>
    <row r="1235" spans="1:9" x14ac:dyDescent="0.25">
      <c r="A1235" s="2" t="s">
        <v>520</v>
      </c>
      <c r="B1235" s="2" t="s">
        <v>521</v>
      </c>
      <c r="C1235" s="2" t="s">
        <v>11</v>
      </c>
      <c r="E1235" s="2" t="s">
        <v>11</v>
      </c>
      <c r="F1235" s="6">
        <v>251000</v>
      </c>
      <c r="H1235" s="6">
        <f>F1235-G1235</f>
        <v>251000</v>
      </c>
      <c r="I1235" s="6">
        <f>IF(F1235&lt;&gt;0, ((F1235-G1235)/F1235)*100, 0)</f>
        <v>100</v>
      </c>
    </row>
    <row r="1236" spans="1:9" x14ac:dyDescent="0.25">
      <c r="A1236" s="2" t="s">
        <v>520</v>
      </c>
      <c r="B1236" s="2" t="s">
        <v>521</v>
      </c>
      <c r="C1236" s="2" t="s">
        <v>11</v>
      </c>
      <c r="E1236" s="2" t="s">
        <v>11</v>
      </c>
      <c r="F1236" s="6">
        <v>631100</v>
      </c>
      <c r="H1236" s="6">
        <f>F1236-G1236</f>
        <v>631100</v>
      </c>
      <c r="I1236" s="6">
        <f>IF(F1236&lt;&gt;0, ((F1236-G1236)/F1236)*100, 0)</f>
        <v>100</v>
      </c>
    </row>
    <row r="1237" spans="1:9" x14ac:dyDescent="0.25">
      <c r="A1237" s="2" t="s">
        <v>520</v>
      </c>
      <c r="B1237" s="2" t="s">
        <v>521</v>
      </c>
      <c r="C1237" s="2" t="s">
        <v>11</v>
      </c>
      <c r="E1237" s="2" t="s">
        <v>11</v>
      </c>
      <c r="F1237" s="6">
        <v>153500</v>
      </c>
      <c r="H1237" s="6">
        <f>F1237-G1237</f>
        <v>153500</v>
      </c>
      <c r="I1237" s="6">
        <f>IF(F1237&lt;&gt;0, ((F1237-G1237)/F1237)*100, 0)</f>
        <v>100</v>
      </c>
    </row>
    <row r="1238" spans="1:9" x14ac:dyDescent="0.25">
      <c r="A1238" s="2" t="s">
        <v>520</v>
      </c>
      <c r="B1238" s="2" t="s">
        <v>521</v>
      </c>
      <c r="C1238" s="2" t="s">
        <v>11</v>
      </c>
      <c r="E1238" s="2" t="s">
        <v>11</v>
      </c>
      <c r="F1238" s="6">
        <v>944800</v>
      </c>
      <c r="H1238" s="6">
        <f>F1238-G1238</f>
        <v>944800</v>
      </c>
      <c r="I1238" s="6">
        <f>IF(F1238&lt;&gt;0, ((F1238-G1238)/F1238)*100, 0)</f>
        <v>100</v>
      </c>
    </row>
    <row r="1239" spans="1:9" x14ac:dyDescent="0.25">
      <c r="A1239" s="2" t="s">
        <v>520</v>
      </c>
      <c r="B1239" s="2" t="s">
        <v>521</v>
      </c>
      <c r="C1239" s="2" t="s">
        <v>11</v>
      </c>
      <c r="E1239" s="2" t="s">
        <v>11</v>
      </c>
      <c r="F1239" s="6">
        <v>849400</v>
      </c>
      <c r="H1239" s="6">
        <f>F1239-G1239</f>
        <v>849400</v>
      </c>
      <c r="I1239" s="6">
        <f>IF(F1239&lt;&gt;0, ((F1239-G1239)/F1239)*100, 0)</f>
        <v>100</v>
      </c>
    </row>
    <row r="1240" spans="1:9" x14ac:dyDescent="0.25">
      <c r="A1240" s="2" t="s">
        <v>520</v>
      </c>
      <c r="B1240" s="2" t="s">
        <v>521</v>
      </c>
      <c r="C1240" s="2" t="s">
        <v>11</v>
      </c>
      <c r="E1240" s="2" t="s">
        <v>11</v>
      </c>
      <c r="F1240" s="6">
        <v>72500</v>
      </c>
      <c r="H1240" s="6">
        <f>F1240-G1240</f>
        <v>72500</v>
      </c>
      <c r="I1240" s="6">
        <f>IF(F1240&lt;&gt;0, ((F1240-G1240)/F1240)*100, 0)</f>
        <v>100</v>
      </c>
    </row>
    <row r="1241" spans="1:9" x14ac:dyDescent="0.25">
      <c r="A1241" s="2" t="s">
        <v>520</v>
      </c>
      <c r="B1241" s="2" t="s">
        <v>521</v>
      </c>
      <c r="C1241" s="2" t="s">
        <v>11</v>
      </c>
      <c r="E1241" s="2" t="s">
        <v>11</v>
      </c>
      <c r="F1241" s="6">
        <v>56000</v>
      </c>
      <c r="H1241" s="6">
        <f>F1241-G1241</f>
        <v>56000</v>
      </c>
      <c r="I1241" s="6">
        <f>IF(F1241&lt;&gt;0, ((F1241-G1241)/F1241)*100, 0)</f>
        <v>100</v>
      </c>
    </row>
    <row r="1242" spans="1:9" x14ac:dyDescent="0.25">
      <c r="A1242" s="2" t="s">
        <v>520</v>
      </c>
      <c r="B1242" s="2" t="s">
        <v>521</v>
      </c>
      <c r="C1242" s="2" t="s">
        <v>11</v>
      </c>
      <c r="E1242" s="2" t="s">
        <v>11</v>
      </c>
      <c r="F1242" s="6">
        <v>206900</v>
      </c>
      <c r="H1242" s="6">
        <f>F1242-G1242</f>
        <v>206900</v>
      </c>
      <c r="I1242" s="6">
        <f>IF(F1242&lt;&gt;0, ((F1242-G1242)/F1242)*100, 0)</f>
        <v>100</v>
      </c>
    </row>
    <row r="1243" spans="1:9" x14ac:dyDescent="0.25">
      <c r="A1243" s="2" t="s">
        <v>520</v>
      </c>
      <c r="B1243" s="2" t="s">
        <v>521</v>
      </c>
      <c r="C1243" s="2" t="s">
        <v>11</v>
      </c>
      <c r="E1243" s="2" t="s">
        <v>11</v>
      </c>
      <c r="F1243" s="6">
        <v>220300</v>
      </c>
      <c r="H1243" s="6">
        <f>F1243-G1243</f>
        <v>220300</v>
      </c>
      <c r="I1243" s="6">
        <f>IF(F1243&lt;&gt;0, ((F1243-G1243)/F1243)*100, 0)</f>
        <v>100</v>
      </c>
    </row>
    <row r="1244" spans="1:9" x14ac:dyDescent="0.25">
      <c r="A1244" s="2" t="s">
        <v>520</v>
      </c>
      <c r="B1244" s="2" t="s">
        <v>521</v>
      </c>
      <c r="C1244" s="2" t="s">
        <v>11</v>
      </c>
      <c r="E1244" s="2" t="s">
        <v>11</v>
      </c>
      <c r="F1244" s="6">
        <v>297800447.75</v>
      </c>
      <c r="H1244" s="6">
        <f>F1244-G1244</f>
        <v>297800447.75</v>
      </c>
      <c r="I1244" s="6">
        <f>IF(F1244&lt;&gt;0, ((F1244-G1244)/F1244)*100, 0)</f>
        <v>100</v>
      </c>
    </row>
    <row r="1245" spans="1:9" x14ac:dyDescent="0.25">
      <c r="A1245" s="2" t="s">
        <v>520</v>
      </c>
      <c r="B1245" s="2" t="s">
        <v>521</v>
      </c>
      <c r="C1245" s="2" t="s">
        <v>11</v>
      </c>
      <c r="E1245" s="2" t="s">
        <v>11</v>
      </c>
      <c r="F1245" s="6">
        <v>70000</v>
      </c>
      <c r="H1245" s="6">
        <f>F1245-G1245</f>
        <v>70000</v>
      </c>
      <c r="I1245" s="6">
        <f>IF(F1245&lt;&gt;0, ((F1245-G1245)/F1245)*100, 0)</f>
        <v>100</v>
      </c>
    </row>
    <row r="1246" spans="1:9" x14ac:dyDescent="0.25">
      <c r="A1246" s="2" t="s">
        <v>520</v>
      </c>
      <c r="B1246" s="2" t="s">
        <v>521</v>
      </c>
      <c r="C1246" s="2" t="s">
        <v>11</v>
      </c>
      <c r="E1246" s="2" t="s">
        <v>11</v>
      </c>
      <c r="F1246" s="6">
        <v>375000</v>
      </c>
      <c r="H1246" s="6">
        <f>F1246-G1246</f>
        <v>375000</v>
      </c>
      <c r="I1246" s="6">
        <f>IF(F1246&lt;&gt;0, ((F1246-G1246)/F1246)*100, 0)</f>
        <v>100</v>
      </c>
    </row>
    <row r="1247" spans="1:9" x14ac:dyDescent="0.25">
      <c r="A1247" s="2" t="s">
        <v>520</v>
      </c>
      <c r="B1247" s="2" t="s">
        <v>521</v>
      </c>
      <c r="C1247" s="2" t="s">
        <v>11</v>
      </c>
      <c r="E1247" s="2" t="s">
        <v>11</v>
      </c>
      <c r="F1247" s="6">
        <v>1231300</v>
      </c>
      <c r="H1247" s="6">
        <f>F1247-G1247</f>
        <v>1231300</v>
      </c>
      <c r="I1247" s="6">
        <f>IF(F1247&lt;&gt;0, ((F1247-G1247)/F1247)*100, 0)</f>
        <v>100</v>
      </c>
    </row>
    <row r="1248" spans="1:9" x14ac:dyDescent="0.25">
      <c r="A1248" s="2" t="s">
        <v>520</v>
      </c>
      <c r="B1248" s="2" t="s">
        <v>521</v>
      </c>
      <c r="C1248" s="2" t="s">
        <v>11</v>
      </c>
      <c r="E1248" s="2" t="s">
        <v>11</v>
      </c>
      <c r="F1248" s="6">
        <v>740700</v>
      </c>
      <c r="H1248" s="6">
        <f>F1248-G1248</f>
        <v>740700</v>
      </c>
      <c r="I1248" s="6">
        <f>IF(F1248&lt;&gt;0, ((F1248-G1248)/F1248)*100, 0)</f>
        <v>100</v>
      </c>
    </row>
    <row r="1249" spans="1:9" x14ac:dyDescent="0.25">
      <c r="A1249" s="2" t="s">
        <v>520</v>
      </c>
      <c r="B1249" s="2" t="s">
        <v>521</v>
      </c>
      <c r="C1249" s="2" t="s">
        <v>11</v>
      </c>
      <c r="E1249" s="2" t="s">
        <v>11</v>
      </c>
      <c r="F1249" s="6">
        <v>292048221.73000002</v>
      </c>
      <c r="H1249" s="6">
        <f>F1249-G1249</f>
        <v>292048221.73000002</v>
      </c>
      <c r="I1249" s="6">
        <f>IF(F1249&lt;&gt;0, ((F1249-G1249)/F1249)*100, 0)</f>
        <v>100</v>
      </c>
    </row>
    <row r="1250" spans="1:9" x14ac:dyDescent="0.25">
      <c r="A1250" s="2" t="s">
        <v>520</v>
      </c>
      <c r="B1250" s="2" t="s">
        <v>521</v>
      </c>
      <c r="C1250" s="2" t="s">
        <v>11</v>
      </c>
      <c r="E1250" s="2" t="s">
        <v>11</v>
      </c>
      <c r="F1250" s="6">
        <v>419400</v>
      </c>
      <c r="H1250" s="6">
        <f>F1250-G1250</f>
        <v>419400</v>
      </c>
      <c r="I1250" s="6">
        <f>IF(F1250&lt;&gt;0, ((F1250-G1250)/F1250)*100, 0)</f>
        <v>100</v>
      </c>
    </row>
    <row r="1251" spans="1:9" x14ac:dyDescent="0.25">
      <c r="A1251" s="2" t="s">
        <v>520</v>
      </c>
      <c r="B1251" s="2" t="s">
        <v>521</v>
      </c>
      <c r="C1251" s="2" t="s">
        <v>11</v>
      </c>
      <c r="E1251" s="2" t="s">
        <v>11</v>
      </c>
      <c r="F1251" s="6">
        <v>21000</v>
      </c>
      <c r="H1251" s="6">
        <f>F1251-G1251</f>
        <v>21000</v>
      </c>
      <c r="I1251" s="6">
        <f>IF(F1251&lt;&gt;0, ((F1251-G1251)/F1251)*100, 0)</f>
        <v>100</v>
      </c>
    </row>
    <row r="1252" spans="1:9" x14ac:dyDescent="0.25">
      <c r="A1252" s="2" t="s">
        <v>520</v>
      </c>
      <c r="B1252" s="2" t="s">
        <v>521</v>
      </c>
      <c r="C1252" s="2" t="s">
        <v>11</v>
      </c>
      <c r="E1252" s="2" t="s">
        <v>11</v>
      </c>
      <c r="F1252" s="6">
        <v>107300</v>
      </c>
      <c r="H1252" s="6">
        <f>F1252-G1252</f>
        <v>107300</v>
      </c>
      <c r="I1252" s="6">
        <f>IF(F1252&lt;&gt;0, ((F1252-G1252)/F1252)*100, 0)</f>
        <v>100</v>
      </c>
    </row>
    <row r="1253" spans="1:9" x14ac:dyDescent="0.25">
      <c r="A1253" s="2" t="s">
        <v>520</v>
      </c>
      <c r="B1253" s="2" t="s">
        <v>521</v>
      </c>
      <c r="C1253" s="2" t="s">
        <v>11</v>
      </c>
      <c r="E1253" s="2" t="s">
        <v>11</v>
      </c>
      <c r="F1253" s="6">
        <v>3922050</v>
      </c>
      <c r="H1253" s="6">
        <f>F1253-G1253</f>
        <v>3922050</v>
      </c>
      <c r="I1253" s="6">
        <f>IF(F1253&lt;&gt;0, ((F1253-G1253)/F1253)*100, 0)</f>
        <v>100</v>
      </c>
    </row>
    <row r="1254" spans="1:9" x14ac:dyDescent="0.25">
      <c r="A1254" s="2" t="s">
        <v>520</v>
      </c>
      <c r="B1254" s="2" t="s">
        <v>521</v>
      </c>
      <c r="C1254" s="2" t="s">
        <v>11</v>
      </c>
      <c r="E1254" s="2" t="s">
        <v>11</v>
      </c>
      <c r="F1254" s="6">
        <v>150400</v>
      </c>
      <c r="H1254" s="6">
        <f>F1254-G1254</f>
        <v>150400</v>
      </c>
      <c r="I1254" s="6">
        <f>IF(F1254&lt;&gt;0, ((F1254-G1254)/F1254)*100, 0)</f>
        <v>100</v>
      </c>
    </row>
    <row r="1255" spans="1:9" x14ac:dyDescent="0.25">
      <c r="A1255" s="2" t="s">
        <v>520</v>
      </c>
      <c r="B1255" s="2" t="s">
        <v>521</v>
      </c>
      <c r="C1255" s="2" t="s">
        <v>11</v>
      </c>
      <c r="E1255" s="2" t="s">
        <v>11</v>
      </c>
      <c r="F1255" s="6">
        <v>207500</v>
      </c>
      <c r="H1255" s="6">
        <f>F1255-G1255</f>
        <v>207500</v>
      </c>
      <c r="I1255" s="6">
        <f>IF(F1255&lt;&gt;0, ((F1255-G1255)/F1255)*100, 0)</f>
        <v>100</v>
      </c>
    </row>
    <row r="1256" spans="1:9" x14ac:dyDescent="0.25">
      <c r="A1256" s="2" t="s">
        <v>520</v>
      </c>
      <c r="B1256" s="2" t="s">
        <v>521</v>
      </c>
      <c r="C1256" s="2" t="s">
        <v>522</v>
      </c>
      <c r="E1256" s="2" t="s">
        <v>11</v>
      </c>
      <c r="F1256" s="6">
        <v>508500</v>
      </c>
      <c r="H1256" s="6">
        <f>F1256-G1256</f>
        <v>508500</v>
      </c>
      <c r="I1256" s="6">
        <f>IF(F1256&lt;&gt;0, ((F1256-G1256)/F1256)*100, 0)</f>
        <v>100</v>
      </c>
    </row>
    <row r="1257" spans="1:9" customFormat="1" ht="14.5" x14ac:dyDescent="0.35">
      <c r="D1257" s="10"/>
      <c r="F1257" s="10"/>
      <c r="G1257" s="10"/>
      <c r="H1257" s="10"/>
      <c r="I1257" s="10"/>
    </row>
    <row r="1258" spans="1:9" s="4" customFormat="1" x14ac:dyDescent="0.25">
      <c r="A1258" s="3" t="s">
        <v>11</v>
      </c>
      <c r="B1258" s="3" t="s">
        <v>11</v>
      </c>
      <c r="C1258" s="3" t="s">
        <v>11</v>
      </c>
      <c r="D1258" s="5">
        <f>SUBTOTAL(9, D1219:D1257)</f>
        <v>0</v>
      </c>
      <c r="E1258" s="3" t="s">
        <v>11</v>
      </c>
      <c r="F1258" s="5">
        <f>SUBTOTAL(9, F1219:F1257)</f>
        <v>742735027.48000002</v>
      </c>
      <c r="G1258" s="5">
        <f>SUBTOTAL(9, G1219:G1257)</f>
        <v>0</v>
      </c>
      <c r="H1258" s="5">
        <f>SUBTOTAL(9, H1219:H1257)</f>
        <v>742735027.48000002</v>
      </c>
      <c r="I1258" s="5">
        <f>IF(F1258&lt;&gt;0, ((F1258-G1258)/F1258)*100, 0)</f>
        <v>100</v>
      </c>
    </row>
    <row r="1259" spans="1:9" customFormat="1" ht="14.5" x14ac:dyDescent="0.35">
      <c r="D1259" s="10"/>
      <c r="F1259" s="10"/>
      <c r="G1259" s="10"/>
      <c r="H1259" s="10"/>
      <c r="I1259" s="10"/>
    </row>
    <row r="1260" spans="1:9" x14ac:dyDescent="0.25">
      <c r="A1260" s="2" t="s">
        <v>523</v>
      </c>
      <c r="B1260" s="2" t="s">
        <v>524</v>
      </c>
      <c r="C1260" s="2" t="s">
        <v>11</v>
      </c>
      <c r="E1260" s="2" t="s">
        <v>11</v>
      </c>
      <c r="F1260" s="6">
        <v>5500</v>
      </c>
      <c r="H1260" s="6">
        <f>F1260-G1260</f>
        <v>5500</v>
      </c>
      <c r="I1260" s="6">
        <f>IF(F1260&lt;&gt;0, ((F1260-G1260)/F1260)*100, 0)</f>
        <v>100</v>
      </c>
    </row>
    <row r="1261" spans="1:9" x14ac:dyDescent="0.25">
      <c r="A1261" s="2" t="s">
        <v>523</v>
      </c>
      <c r="B1261" s="2" t="s">
        <v>524</v>
      </c>
      <c r="C1261" s="2" t="s">
        <v>11</v>
      </c>
      <c r="E1261" s="2" t="s">
        <v>11</v>
      </c>
      <c r="F1261" s="6">
        <v>52500</v>
      </c>
      <c r="H1261" s="6">
        <f>F1261-G1261</f>
        <v>52500</v>
      </c>
      <c r="I1261" s="6">
        <f>IF(F1261&lt;&gt;0, ((F1261-G1261)/F1261)*100, 0)</f>
        <v>100</v>
      </c>
    </row>
    <row r="1262" spans="1:9" x14ac:dyDescent="0.25">
      <c r="A1262" s="2" t="s">
        <v>523</v>
      </c>
      <c r="B1262" s="2" t="s">
        <v>524</v>
      </c>
      <c r="C1262" s="2" t="s">
        <v>11</v>
      </c>
      <c r="E1262" s="2" t="s">
        <v>11</v>
      </c>
      <c r="F1262" s="6">
        <v>12000</v>
      </c>
      <c r="H1262" s="6">
        <f>F1262-G1262</f>
        <v>12000</v>
      </c>
      <c r="I1262" s="6">
        <f>IF(F1262&lt;&gt;0, ((F1262-G1262)/F1262)*100, 0)</f>
        <v>100</v>
      </c>
    </row>
    <row r="1263" spans="1:9" x14ac:dyDescent="0.25">
      <c r="A1263" s="2" t="s">
        <v>523</v>
      </c>
      <c r="B1263" s="2" t="s">
        <v>524</v>
      </c>
      <c r="C1263" s="2" t="s">
        <v>11</v>
      </c>
      <c r="E1263" s="2" t="s">
        <v>11</v>
      </c>
      <c r="F1263" s="6">
        <v>9500</v>
      </c>
      <c r="H1263" s="6">
        <f>F1263-G1263</f>
        <v>9500</v>
      </c>
      <c r="I1263" s="6">
        <f>IF(F1263&lt;&gt;0, ((F1263-G1263)/F1263)*100, 0)</f>
        <v>100</v>
      </c>
    </row>
    <row r="1264" spans="1:9" x14ac:dyDescent="0.25">
      <c r="A1264" s="2" t="s">
        <v>523</v>
      </c>
      <c r="B1264" s="2" t="s">
        <v>524</v>
      </c>
      <c r="C1264" s="2" t="s">
        <v>11</v>
      </c>
      <c r="E1264" s="2" t="s">
        <v>11</v>
      </c>
      <c r="F1264" s="6">
        <v>26743690</v>
      </c>
      <c r="H1264" s="6">
        <f>F1264-G1264</f>
        <v>26743690</v>
      </c>
      <c r="I1264" s="6">
        <f>IF(F1264&lt;&gt;0, ((F1264-G1264)/F1264)*100, 0)</f>
        <v>100</v>
      </c>
    </row>
    <row r="1265" spans="1:9" x14ac:dyDescent="0.25">
      <c r="A1265" s="2" t="s">
        <v>523</v>
      </c>
      <c r="B1265" s="2" t="s">
        <v>524</v>
      </c>
      <c r="C1265" s="2" t="s">
        <v>11</v>
      </c>
      <c r="E1265" s="2" t="s">
        <v>11</v>
      </c>
      <c r="F1265" s="6">
        <v>1653050</v>
      </c>
      <c r="H1265" s="6">
        <f>F1265-G1265</f>
        <v>1653050</v>
      </c>
      <c r="I1265" s="6">
        <f>IF(F1265&lt;&gt;0, ((F1265-G1265)/F1265)*100, 0)</f>
        <v>100</v>
      </c>
    </row>
    <row r="1266" spans="1:9" x14ac:dyDescent="0.25">
      <c r="A1266" s="2" t="s">
        <v>523</v>
      </c>
      <c r="B1266" s="2" t="s">
        <v>524</v>
      </c>
      <c r="C1266" s="2" t="s">
        <v>11</v>
      </c>
      <c r="E1266" s="2" t="s">
        <v>11</v>
      </c>
      <c r="F1266" s="6">
        <v>4174400</v>
      </c>
      <c r="H1266" s="6">
        <f>F1266-G1266</f>
        <v>4174400</v>
      </c>
      <c r="I1266" s="6">
        <f>IF(F1266&lt;&gt;0, ((F1266-G1266)/F1266)*100, 0)</f>
        <v>100</v>
      </c>
    </row>
    <row r="1267" spans="1:9" x14ac:dyDescent="0.25">
      <c r="A1267" s="2" t="s">
        <v>523</v>
      </c>
      <c r="B1267" s="2" t="s">
        <v>524</v>
      </c>
      <c r="C1267" s="2" t="s">
        <v>11</v>
      </c>
      <c r="E1267" s="2" t="s">
        <v>11</v>
      </c>
      <c r="F1267" s="6">
        <v>242960</v>
      </c>
      <c r="H1267" s="6">
        <f>F1267-G1267</f>
        <v>242960</v>
      </c>
      <c r="I1267" s="6">
        <f>IF(F1267&lt;&gt;0, ((F1267-G1267)/F1267)*100, 0)</f>
        <v>100</v>
      </c>
    </row>
    <row r="1268" spans="1:9" x14ac:dyDescent="0.25">
      <c r="A1268" s="2" t="s">
        <v>523</v>
      </c>
      <c r="B1268" s="2" t="s">
        <v>524</v>
      </c>
      <c r="C1268" s="2" t="s">
        <v>11</v>
      </c>
      <c r="E1268" s="2" t="s">
        <v>11</v>
      </c>
      <c r="F1268" s="6">
        <v>3000</v>
      </c>
      <c r="H1268" s="6">
        <f>F1268-G1268</f>
        <v>3000</v>
      </c>
      <c r="I1268" s="6">
        <f>IF(F1268&lt;&gt;0, ((F1268-G1268)/F1268)*100, 0)</f>
        <v>100</v>
      </c>
    </row>
    <row r="1269" spans="1:9" x14ac:dyDescent="0.25">
      <c r="A1269" s="2" t="s">
        <v>523</v>
      </c>
      <c r="B1269" s="2" t="s">
        <v>524</v>
      </c>
      <c r="C1269" s="2" t="s">
        <v>11</v>
      </c>
      <c r="E1269" s="2" t="s">
        <v>11</v>
      </c>
      <c r="F1269" s="6">
        <v>22000</v>
      </c>
      <c r="H1269" s="6">
        <f>F1269-G1269</f>
        <v>22000</v>
      </c>
      <c r="I1269" s="6">
        <f>IF(F1269&lt;&gt;0, ((F1269-G1269)/F1269)*100, 0)</f>
        <v>100</v>
      </c>
    </row>
    <row r="1270" spans="1:9" x14ac:dyDescent="0.25">
      <c r="A1270" s="2" t="s">
        <v>523</v>
      </c>
      <c r="B1270" s="2" t="s">
        <v>524</v>
      </c>
      <c r="C1270" s="2" t="s">
        <v>11</v>
      </c>
      <c r="E1270" s="2" t="s">
        <v>11</v>
      </c>
      <c r="F1270" s="6">
        <v>7395700</v>
      </c>
      <c r="H1270" s="6">
        <f>F1270-G1270</f>
        <v>7395700</v>
      </c>
      <c r="I1270" s="6">
        <f>IF(F1270&lt;&gt;0, ((F1270-G1270)/F1270)*100, 0)</f>
        <v>100</v>
      </c>
    </row>
    <row r="1271" spans="1:9" x14ac:dyDescent="0.25">
      <c r="A1271" s="2" t="s">
        <v>523</v>
      </c>
      <c r="B1271" s="2" t="s">
        <v>524</v>
      </c>
      <c r="C1271" s="2" t="s">
        <v>11</v>
      </c>
      <c r="E1271" s="2" t="s">
        <v>11</v>
      </c>
      <c r="F1271" s="6">
        <v>160000</v>
      </c>
      <c r="H1271" s="6">
        <f>F1271-G1271</f>
        <v>160000</v>
      </c>
      <c r="I1271" s="6">
        <f>IF(F1271&lt;&gt;0, ((F1271-G1271)/F1271)*100, 0)</f>
        <v>100</v>
      </c>
    </row>
    <row r="1272" spans="1:9" x14ac:dyDescent="0.25">
      <c r="A1272" s="2" t="s">
        <v>523</v>
      </c>
      <c r="B1272" s="2" t="s">
        <v>524</v>
      </c>
      <c r="C1272" s="2" t="s">
        <v>11</v>
      </c>
      <c r="E1272" s="2" t="s">
        <v>11</v>
      </c>
      <c r="F1272" s="6">
        <v>26500</v>
      </c>
      <c r="H1272" s="6">
        <f>F1272-G1272</f>
        <v>26500</v>
      </c>
      <c r="I1272" s="6">
        <f>IF(F1272&lt;&gt;0, ((F1272-G1272)/F1272)*100, 0)</f>
        <v>100</v>
      </c>
    </row>
    <row r="1273" spans="1:9" x14ac:dyDescent="0.25">
      <c r="A1273" s="2" t="s">
        <v>523</v>
      </c>
      <c r="B1273" s="2" t="s">
        <v>524</v>
      </c>
      <c r="C1273" s="2" t="s">
        <v>11</v>
      </c>
      <c r="E1273" s="2" t="s">
        <v>11</v>
      </c>
      <c r="F1273" s="6">
        <v>11343300</v>
      </c>
      <c r="H1273" s="6">
        <f>F1273-G1273</f>
        <v>11343300</v>
      </c>
      <c r="I1273" s="6">
        <f>IF(F1273&lt;&gt;0, ((F1273-G1273)/F1273)*100, 0)</f>
        <v>100</v>
      </c>
    </row>
    <row r="1274" spans="1:9" x14ac:dyDescent="0.25">
      <c r="A1274" s="2" t="s">
        <v>523</v>
      </c>
      <c r="B1274" s="2" t="s">
        <v>524</v>
      </c>
      <c r="C1274" s="2" t="s">
        <v>11</v>
      </c>
      <c r="E1274" s="2" t="s">
        <v>11</v>
      </c>
      <c r="F1274" s="6">
        <v>28000</v>
      </c>
      <c r="H1274" s="6">
        <f>F1274-G1274</f>
        <v>28000</v>
      </c>
      <c r="I1274" s="6">
        <f>IF(F1274&lt;&gt;0, ((F1274-G1274)/F1274)*100, 0)</f>
        <v>100</v>
      </c>
    </row>
    <row r="1275" spans="1:9" x14ac:dyDescent="0.25">
      <c r="A1275" s="2" t="s">
        <v>523</v>
      </c>
      <c r="B1275" s="2" t="s">
        <v>524</v>
      </c>
      <c r="C1275" s="2" t="s">
        <v>11</v>
      </c>
      <c r="E1275" s="2" t="s">
        <v>11</v>
      </c>
      <c r="F1275" s="6">
        <v>40000</v>
      </c>
      <c r="H1275" s="6">
        <f>F1275-G1275</f>
        <v>40000</v>
      </c>
      <c r="I1275" s="6">
        <f>IF(F1275&lt;&gt;0, ((F1275-G1275)/F1275)*100, 0)</f>
        <v>100</v>
      </c>
    </row>
    <row r="1276" spans="1:9" x14ac:dyDescent="0.25">
      <c r="A1276" s="2" t="s">
        <v>523</v>
      </c>
      <c r="B1276" s="2" t="s">
        <v>524</v>
      </c>
      <c r="C1276" s="2" t="s">
        <v>11</v>
      </c>
      <c r="E1276" s="2" t="s">
        <v>11</v>
      </c>
      <c r="F1276" s="6">
        <v>17000</v>
      </c>
      <c r="H1276" s="6">
        <f>F1276-G1276</f>
        <v>17000</v>
      </c>
      <c r="I1276" s="6">
        <f>IF(F1276&lt;&gt;0, ((F1276-G1276)/F1276)*100, 0)</f>
        <v>100</v>
      </c>
    </row>
    <row r="1277" spans="1:9" x14ac:dyDescent="0.25">
      <c r="A1277" s="2" t="s">
        <v>523</v>
      </c>
      <c r="B1277" s="2" t="s">
        <v>524</v>
      </c>
      <c r="C1277" s="2" t="s">
        <v>11</v>
      </c>
      <c r="E1277" s="2" t="s">
        <v>11</v>
      </c>
      <c r="F1277" s="6">
        <v>31955750</v>
      </c>
      <c r="H1277" s="6">
        <f>F1277-G1277</f>
        <v>31955750</v>
      </c>
      <c r="I1277" s="6">
        <f>IF(F1277&lt;&gt;0, ((F1277-G1277)/F1277)*100, 0)</f>
        <v>100</v>
      </c>
    </row>
    <row r="1278" spans="1:9" x14ac:dyDescent="0.25">
      <c r="A1278" s="2" t="s">
        <v>523</v>
      </c>
      <c r="B1278" s="2" t="s">
        <v>524</v>
      </c>
      <c r="C1278" s="2" t="s">
        <v>11</v>
      </c>
      <c r="E1278" s="2" t="s">
        <v>11</v>
      </c>
      <c r="F1278" s="6">
        <v>224400</v>
      </c>
      <c r="H1278" s="6">
        <f>F1278-G1278</f>
        <v>224400</v>
      </c>
      <c r="I1278" s="6">
        <f>IF(F1278&lt;&gt;0, ((F1278-G1278)/F1278)*100, 0)</f>
        <v>100</v>
      </c>
    </row>
    <row r="1279" spans="1:9" x14ac:dyDescent="0.25">
      <c r="A1279" s="2" t="s">
        <v>523</v>
      </c>
      <c r="B1279" s="2" t="s">
        <v>524</v>
      </c>
      <c r="C1279" s="2" t="s">
        <v>11</v>
      </c>
      <c r="E1279" s="2" t="s">
        <v>11</v>
      </c>
      <c r="F1279" s="6">
        <v>395400</v>
      </c>
      <c r="H1279" s="6">
        <f>F1279-G1279</f>
        <v>395400</v>
      </c>
      <c r="I1279" s="6">
        <f>IF(F1279&lt;&gt;0, ((F1279-G1279)/F1279)*100, 0)</f>
        <v>100</v>
      </c>
    </row>
    <row r="1280" spans="1:9" x14ac:dyDescent="0.25">
      <c r="A1280" s="2" t="s">
        <v>523</v>
      </c>
      <c r="B1280" s="2" t="s">
        <v>524</v>
      </c>
      <c r="C1280" s="2" t="s">
        <v>11</v>
      </c>
      <c r="E1280" s="2" t="s">
        <v>11</v>
      </c>
      <c r="F1280" s="6">
        <v>12500</v>
      </c>
      <c r="H1280" s="6">
        <f>F1280-G1280</f>
        <v>12500</v>
      </c>
      <c r="I1280" s="6">
        <f>IF(F1280&lt;&gt;0, ((F1280-G1280)/F1280)*100, 0)</f>
        <v>100</v>
      </c>
    </row>
    <row r="1281" spans="1:9" x14ac:dyDescent="0.25">
      <c r="A1281" s="2" t="s">
        <v>523</v>
      </c>
      <c r="B1281" s="2" t="s">
        <v>524</v>
      </c>
      <c r="C1281" s="2" t="s">
        <v>11</v>
      </c>
      <c r="E1281" s="2" t="s">
        <v>11</v>
      </c>
      <c r="F1281" s="6">
        <v>121500</v>
      </c>
      <c r="H1281" s="6">
        <f>F1281-G1281</f>
        <v>121500</v>
      </c>
      <c r="I1281" s="6">
        <f>IF(F1281&lt;&gt;0, ((F1281-G1281)/F1281)*100, 0)</f>
        <v>100</v>
      </c>
    </row>
    <row r="1282" spans="1:9" x14ac:dyDescent="0.25">
      <c r="A1282" s="2" t="s">
        <v>523</v>
      </c>
      <c r="B1282" s="2" t="s">
        <v>524</v>
      </c>
      <c r="C1282" s="2" t="s">
        <v>11</v>
      </c>
      <c r="E1282" s="2" t="s">
        <v>11</v>
      </c>
      <c r="F1282" s="6">
        <v>16500</v>
      </c>
      <c r="H1282" s="6">
        <f>F1282-G1282</f>
        <v>16500</v>
      </c>
      <c r="I1282" s="6">
        <f>IF(F1282&lt;&gt;0, ((F1282-G1282)/F1282)*100, 0)</f>
        <v>100</v>
      </c>
    </row>
    <row r="1283" spans="1:9" customFormat="1" ht="14.5" x14ac:dyDescent="0.35">
      <c r="D1283" s="10"/>
      <c r="F1283" s="10"/>
      <c r="G1283" s="10"/>
      <c r="H1283" s="10"/>
      <c r="I1283" s="10"/>
    </row>
    <row r="1284" spans="1:9" s="4" customFormat="1" x14ac:dyDescent="0.25">
      <c r="A1284" s="3" t="s">
        <v>11</v>
      </c>
      <c r="B1284" s="3" t="s">
        <v>11</v>
      </c>
      <c r="C1284" s="3" t="s">
        <v>11</v>
      </c>
      <c r="D1284" s="5">
        <f>SUBTOTAL(9, D1260:D1283)</f>
        <v>0</v>
      </c>
      <c r="E1284" s="3" t="s">
        <v>11</v>
      </c>
      <c r="F1284" s="5">
        <f>SUBTOTAL(9, F1260:F1283)</f>
        <v>84655150</v>
      </c>
      <c r="G1284" s="5">
        <f>SUBTOTAL(9, G1260:G1283)</f>
        <v>0</v>
      </c>
      <c r="H1284" s="5">
        <f>SUBTOTAL(9, H1260:H1283)</f>
        <v>84655150</v>
      </c>
      <c r="I1284" s="5">
        <f>IF(F1284&lt;&gt;0, ((F1284-G1284)/F1284)*100, 0)</f>
        <v>100</v>
      </c>
    </row>
    <row r="1285" spans="1:9" customFormat="1" ht="14.5" x14ac:dyDescent="0.35">
      <c r="D1285" s="10"/>
      <c r="F1285" s="10"/>
      <c r="G1285" s="10"/>
      <c r="H1285" s="10"/>
      <c r="I1285" s="10"/>
    </row>
    <row r="1286" spans="1:9" x14ac:dyDescent="0.25">
      <c r="A1286" s="2" t="s">
        <v>525</v>
      </c>
      <c r="B1286" s="2" t="s">
        <v>526</v>
      </c>
      <c r="C1286" s="2" t="s">
        <v>11</v>
      </c>
      <c r="E1286" s="2" t="s">
        <v>11</v>
      </c>
      <c r="F1286" s="6">
        <v>388800</v>
      </c>
      <c r="H1286" s="6">
        <f>F1286-G1286</f>
        <v>388800</v>
      </c>
      <c r="I1286" s="6">
        <f>IF(F1286&lt;&gt;0, ((F1286-G1286)/F1286)*100, 0)</f>
        <v>100</v>
      </c>
    </row>
    <row r="1287" spans="1:9" customFormat="1" ht="14.5" x14ac:dyDescent="0.35">
      <c r="D1287" s="10"/>
      <c r="F1287" s="10"/>
      <c r="G1287" s="10"/>
      <c r="H1287" s="10"/>
      <c r="I1287" s="10"/>
    </row>
    <row r="1288" spans="1:9" s="4" customFormat="1" x14ac:dyDescent="0.25">
      <c r="A1288" s="3" t="s">
        <v>11</v>
      </c>
      <c r="B1288" s="3" t="s">
        <v>11</v>
      </c>
      <c r="C1288" s="3" t="s">
        <v>11</v>
      </c>
      <c r="D1288" s="5">
        <f>SUBTOTAL(9, D1286:D1287)</f>
        <v>0</v>
      </c>
      <c r="E1288" s="3" t="s">
        <v>11</v>
      </c>
      <c r="F1288" s="5">
        <f>SUBTOTAL(9, F1286:F1287)</f>
        <v>388800</v>
      </c>
      <c r="G1288" s="5">
        <f>SUBTOTAL(9, G1286:G1287)</f>
        <v>0</v>
      </c>
      <c r="H1288" s="5">
        <f>SUBTOTAL(9, H1286:H1287)</f>
        <v>388800</v>
      </c>
      <c r="I1288" s="5">
        <f>IF(F1288&lt;&gt;0, ((F1288-G1288)/F1288)*100, 0)</f>
        <v>100</v>
      </c>
    </row>
    <row r="1289" spans="1:9" customFormat="1" ht="14.5" x14ac:dyDescent="0.35">
      <c r="D1289" s="10"/>
      <c r="F1289" s="10"/>
      <c r="G1289" s="10"/>
      <c r="H1289" s="10"/>
      <c r="I1289" s="10"/>
    </row>
    <row r="1290" spans="1:9" s="4" customFormat="1" ht="12" thickBot="1" x14ac:dyDescent="0.3">
      <c r="A1290" s="3" t="s">
        <v>527</v>
      </c>
      <c r="B1290" s="3" t="s">
        <v>11</v>
      </c>
      <c r="C1290" s="3" t="s">
        <v>11</v>
      </c>
      <c r="D1290" s="5">
        <f>SUBTOTAL(9, D2:D1289)</f>
        <v>0</v>
      </c>
      <c r="E1290" s="3" t="s">
        <v>11</v>
      </c>
      <c r="F1290" s="5">
        <f>SUBTOTAL(9, F2:F1289)</f>
        <v>2179322968.1300001</v>
      </c>
      <c r="G1290" s="5">
        <f>SUBTOTAL(9, G2:G1289)</f>
        <v>0</v>
      </c>
      <c r="H1290" s="5">
        <f>SUBTOTAL(9, H2:H1289)</f>
        <v>2179322968.1300001</v>
      </c>
      <c r="I1290" s="5">
        <f>IF(F1290&lt;&gt;0, ((F1290-G1290)/F1290)*100, 0)</f>
        <v>100</v>
      </c>
    </row>
    <row r="1291" spans="1:9" customFormat="1" ht="15.5" thickTop="1" thickBot="1" x14ac:dyDescent="0.4">
      <c r="A1291" s="11"/>
      <c r="B1291" s="11"/>
      <c r="C1291" s="11"/>
      <c r="D1291" s="12"/>
      <c r="E1291" s="11"/>
      <c r="F1291" s="12"/>
      <c r="G1291" s="12"/>
      <c r="H1291" s="12"/>
      <c r="I1291" s="12"/>
    </row>
  </sheetData>
  <pageMargins left="0.7" right="0.7" top="1.25" bottom="0.65277777777777779" header="0.3" footer="0.3"/>
  <pageSetup orientation="landscape" r:id="rId1"/>
  <headerFooter>
    <oddHeader xml:space="preserve">&amp;C&amp;"Arial"&amp;12&amp;BROYAN HOSPITAL&amp;B
&amp;11&amp;BItems Sold to Customers&amp;B
&amp;BFor the Period From Jan 1, 2009 to Dec 31, 2024&amp;B&amp;L&amp;"Arial"&amp;12
&amp;11
&amp;"Arial"&amp;8Filter Criteria includes: Report order is by Customer ID, Item ID. Report is printed in Detail Format. </oddHeader>
    <oddFooter>&amp;L&amp;08&amp;"MS San Serif"&amp;D at &amp;T&amp;R&amp;08&amp;"MS San Serif"Page: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Items Sold to Customers</vt:lpstr>
      <vt:lpstr>'Items Sold to Customers'!Print_Titles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Mofe Akinola</dc:creator>
  <cp:lastModifiedBy>Mofe Akinola</cp:lastModifiedBy>
  <dcterms:created xsi:type="dcterms:W3CDTF">2026-10-01T15:07:03Z</dcterms:created>
  <dcterms:modified xsi:type="dcterms:W3CDTF">2026-10-01T15:08:04Z</dcterms:modified>
</cp:coreProperties>
</file>