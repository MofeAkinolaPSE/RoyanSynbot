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71D2986-19C1-4AFB-B57A-DC4BF756629B}" xr6:coauthVersionLast="47" xr6:coauthVersionMax="47" xr10:uidLastSave="{00000000-0000-0000-0000-000000000000}"/>
  <bookViews>
    <workbookView xWindow="2510" yWindow="1830" windowWidth="14400" windowHeight="7270" xr2:uid="{BA61D0A6-5F31-444F-BE40-38E199D33803}"/>
  </bookViews>
  <sheets>
    <sheet name="Balance Sheet-Budg." sheetId="1" r:id="rId1"/>
  </sheets>
  <definedNames>
    <definedName name="_xlnm.Print_Titles" localSheetId="0">'Balance Sheet-Budg.'!$1:$1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C112" i="1"/>
  <c r="D110" i="1"/>
  <c r="C110" i="1"/>
  <c r="D100" i="1"/>
  <c r="C100" i="1"/>
  <c r="D98" i="1"/>
  <c r="C98" i="1"/>
  <c r="D93" i="1"/>
  <c r="C93" i="1"/>
  <c r="D69" i="1"/>
  <c r="C69" i="1"/>
  <c r="D67" i="1"/>
  <c r="C67" i="1"/>
  <c r="D62" i="1"/>
  <c r="C62" i="1"/>
  <c r="D46" i="1"/>
  <c r="C46" i="1"/>
</calcChain>
</file>

<file path=xl/sharedStrings.xml><?xml version="1.0" encoding="utf-8"?>
<sst xmlns="http://schemas.openxmlformats.org/spreadsheetml/2006/main" count="188" uniqueCount="94">
  <si>
    <t>Balance</t>
  </si>
  <si>
    <t>Budget</t>
  </si>
  <si>
    <t>ASSETS</t>
  </si>
  <si>
    <t/>
  </si>
  <si>
    <t>Current Assets</t>
  </si>
  <si>
    <t>Petty cash</t>
  </si>
  <si>
    <t>Cash on Hand</t>
  </si>
  <si>
    <t>Access Bank Plc 1</t>
  </si>
  <si>
    <t>Access Bank Plc 2</t>
  </si>
  <si>
    <t>ACCESS BANK (THE ROYAN)</t>
  </si>
  <si>
    <t>Eco Bank PLC</t>
  </si>
  <si>
    <t>ECO BANK( THE ROYAN)</t>
  </si>
  <si>
    <t>Zenith Bank Accout1</t>
  </si>
  <si>
    <t>ZENITH BANK(THE ROYAN)</t>
  </si>
  <si>
    <t>Zenith Bank Accout 2</t>
  </si>
  <si>
    <t>Stanbic IBTC Bank PLC</t>
  </si>
  <si>
    <t>Stanbic IBTC(THE ROYAN)</t>
  </si>
  <si>
    <t>Sterling Bank plc</t>
  </si>
  <si>
    <t>STERLING BANK(THE ROYAN)</t>
  </si>
  <si>
    <t>Keystone Bank Accont 1</t>
  </si>
  <si>
    <t>Polaris Bank Ltd</t>
  </si>
  <si>
    <t>Polaris Bank Ltd(THE ROYAN)</t>
  </si>
  <si>
    <t>Keystone Bank ACCOUNT 2</t>
  </si>
  <si>
    <t>Access/Diamond Bank Plc</t>
  </si>
  <si>
    <t>Fidelity Bank Plc</t>
  </si>
  <si>
    <t>Fidelity Bank  Fixed Deposit</t>
  </si>
  <si>
    <t>United Bank for Africa</t>
  </si>
  <si>
    <t>UBA PLC (THE ROYAN)</t>
  </si>
  <si>
    <t>Suspense A/C</t>
  </si>
  <si>
    <t>Accounts Receivable</t>
  </si>
  <si>
    <t>Allowance for Doubtful Account</t>
  </si>
  <si>
    <t>Inventory</t>
  </si>
  <si>
    <t>Prepaid Expenses</t>
  </si>
  <si>
    <t>Scancare Current A/C</t>
  </si>
  <si>
    <t>Loan Recievable</t>
  </si>
  <si>
    <t>Land Recievable</t>
  </si>
  <si>
    <t>MD Current Account ZENITH 1</t>
  </si>
  <si>
    <t>MD Current Account KEYSTONE1</t>
  </si>
  <si>
    <t>MD Current Account KEYSTONE 2</t>
  </si>
  <si>
    <t>MD Current Account ACCESS 1</t>
  </si>
  <si>
    <t>MD Current Account ACCESS 2</t>
  </si>
  <si>
    <t>MD Current Account ECO BANK</t>
  </si>
  <si>
    <t>MD Current Account IBTC BANK</t>
  </si>
  <si>
    <t>MD'S Current Account Syke Bank</t>
  </si>
  <si>
    <t>MD'S Current Account Fidelity</t>
  </si>
  <si>
    <t>Total Current Assets</t>
  </si>
  <si>
    <t>Property and Equipment</t>
  </si>
  <si>
    <t>Land and Building</t>
  </si>
  <si>
    <t>Motor Vehicles</t>
  </si>
  <si>
    <t>Plant and Machinery</t>
  </si>
  <si>
    <t>Hospital Equipment</t>
  </si>
  <si>
    <t>Office Equipment</t>
  </si>
  <si>
    <t>Hospital Furnitures</t>
  </si>
  <si>
    <t>Accumulated Dep Land&amp; Building</t>
  </si>
  <si>
    <t>Accumulated Dep.Motor Vehicle</t>
  </si>
  <si>
    <t>Accumulated DepPlant&amp;Machinery</t>
  </si>
  <si>
    <t>Accumulated Dep.Hospital Equip</t>
  </si>
  <si>
    <t>Accumulated Dep.Office Equip.</t>
  </si>
  <si>
    <t>Accumulated Dep.Hospital Fur.</t>
  </si>
  <si>
    <t>Total Property and Equipment</t>
  </si>
  <si>
    <t>Other Assets</t>
  </si>
  <si>
    <t>INVESTMENT</t>
  </si>
  <si>
    <t>Total Other Assets</t>
  </si>
  <si>
    <t>Total Assets</t>
  </si>
  <si>
    <t>LIABILITIES AND CAPITAL</t>
  </si>
  <si>
    <t>Current Liabilities</t>
  </si>
  <si>
    <t>Accounts Payable</t>
  </si>
  <si>
    <t>Accounts Payable/Salaries</t>
  </si>
  <si>
    <t>Land Beneficiary Payable A/C</t>
  </si>
  <si>
    <t>Deductions Payable</t>
  </si>
  <si>
    <t>Federal Payroll Taxes Payable</t>
  </si>
  <si>
    <t>Withholding tax</t>
  </si>
  <si>
    <t>State Payroll Taxes Payable</t>
  </si>
  <si>
    <t>Pensions Contributions</t>
  </si>
  <si>
    <t>M.D'S Current A/C KEYSTONE 2</t>
  </si>
  <si>
    <t>M.D'S Current A/C KEYSTONE 1</t>
  </si>
  <si>
    <t>M.D'S Currents A/C ECO BANK</t>
  </si>
  <si>
    <t>M.D'S Currents Account IBTC</t>
  </si>
  <si>
    <t>M D Current Account ACCESS 2</t>
  </si>
  <si>
    <t>MD Current Account ZENITH 2</t>
  </si>
  <si>
    <t>Total Current Liabilities</t>
  </si>
  <si>
    <t>Long-Term Liabilities</t>
  </si>
  <si>
    <t>Long Term Debt-Noncurrent</t>
  </si>
  <si>
    <t>Total Long-Term Liabilities</t>
  </si>
  <si>
    <t>Total Liabilities</t>
  </si>
  <si>
    <t>Capital</t>
  </si>
  <si>
    <t>Beginning Balance Equity</t>
  </si>
  <si>
    <t>Retained Earnings</t>
  </si>
  <si>
    <t>Paid-in Capital</t>
  </si>
  <si>
    <t>Common Stock</t>
  </si>
  <si>
    <t>Capital's in Bank</t>
  </si>
  <si>
    <t>Net Income</t>
  </si>
  <si>
    <t>Total Capital</t>
  </si>
  <si>
    <t>Total Liabilities &amp;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</si>
</sst>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4A48-4C2D-4FE8-99B7-4BA9D4912D6B}">
  <dimension ref="A1:D113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3" width="14.6328125" style="1" customWidth="1"/>
    <col min="4" max="4" width="15.6328125" style="1" customWidth="1"/>
    <col min="5" max="16384" width="8.7265625" style="1"/>
  </cols>
  <sheetData>
    <row r="1" spans="1:4" x14ac:dyDescent="0.3">
      <c r="A1" s="2"/>
      <c r="B1" s="4" t="s">
        <v>0</v>
      </c>
      <c r="C1" s="3"/>
      <c r="D1" s="5" t="s">
        <v>1</v>
      </c>
    </row>
    <row r="2" spans="1:4" x14ac:dyDescent="0.3">
      <c r="A2" s="2" t="s">
        <v>2</v>
      </c>
    </row>
    <row r="3" spans="1:4" x14ac:dyDescent="0.3">
      <c r="A3" s="2" t="s">
        <v>3</v>
      </c>
    </row>
    <row r="4" spans="1:4" x14ac:dyDescent="0.3">
      <c r="A4" s="4" t="s">
        <v>4</v>
      </c>
    </row>
    <row r="5" spans="1:4" x14ac:dyDescent="0.3">
      <c r="A5" s="4" t="s">
        <v>5</v>
      </c>
      <c r="B5" s="6">
        <v>0</v>
      </c>
      <c r="C5" s="4" t="s">
        <v>3</v>
      </c>
      <c r="D5" s="7">
        <v>0</v>
      </c>
    </row>
    <row r="6" spans="1:4" x14ac:dyDescent="0.3">
      <c r="A6" s="4" t="s">
        <v>6</v>
      </c>
      <c r="B6" s="7">
        <v>-1071051.44</v>
      </c>
      <c r="C6" s="4" t="s">
        <v>3</v>
      </c>
      <c r="D6" s="7">
        <v>0</v>
      </c>
    </row>
    <row r="7" spans="1:4" x14ac:dyDescent="0.3">
      <c r="A7" s="4" t="s">
        <v>7</v>
      </c>
      <c r="B7" s="7">
        <v>24435.759999999998</v>
      </c>
      <c r="C7" s="4" t="s">
        <v>3</v>
      </c>
      <c r="D7" s="7">
        <v>0</v>
      </c>
    </row>
    <row r="8" spans="1:4" x14ac:dyDescent="0.3">
      <c r="A8" s="4" t="s">
        <v>8</v>
      </c>
      <c r="B8" s="7">
        <v>75562.259999999995</v>
      </c>
      <c r="C8" s="4" t="s">
        <v>3</v>
      </c>
      <c r="D8" s="7">
        <v>0</v>
      </c>
    </row>
    <row r="9" spans="1:4" x14ac:dyDescent="0.3">
      <c r="A9" s="4" t="s">
        <v>9</v>
      </c>
      <c r="B9" s="7">
        <v>5156508.45</v>
      </c>
      <c r="C9" s="4" t="s">
        <v>3</v>
      </c>
      <c r="D9" s="7">
        <v>0</v>
      </c>
    </row>
    <row r="10" spans="1:4" x14ac:dyDescent="0.3">
      <c r="A10" s="4" t="s">
        <v>10</v>
      </c>
      <c r="B10" s="7">
        <v>780.24</v>
      </c>
      <c r="C10" s="4" t="s">
        <v>3</v>
      </c>
      <c r="D10" s="7">
        <v>0</v>
      </c>
    </row>
    <row r="11" spans="1:4" x14ac:dyDescent="0.3">
      <c r="A11" s="4" t="s">
        <v>11</v>
      </c>
      <c r="B11" s="7">
        <v>5228994.1399999997</v>
      </c>
      <c r="C11" s="4" t="s">
        <v>3</v>
      </c>
      <c r="D11" s="7">
        <v>0</v>
      </c>
    </row>
    <row r="12" spans="1:4" x14ac:dyDescent="0.3">
      <c r="A12" s="4" t="s">
        <v>12</v>
      </c>
      <c r="B12" s="7">
        <v>475472.78</v>
      </c>
      <c r="C12" s="4" t="s">
        <v>3</v>
      </c>
      <c r="D12" s="7">
        <v>0</v>
      </c>
    </row>
    <row r="13" spans="1:4" x14ac:dyDescent="0.3">
      <c r="A13" s="4" t="s">
        <v>13</v>
      </c>
      <c r="B13" s="7">
        <v>1569913</v>
      </c>
      <c r="C13" s="4" t="s">
        <v>3</v>
      </c>
      <c r="D13" s="7">
        <v>0</v>
      </c>
    </row>
    <row r="14" spans="1:4" x14ac:dyDescent="0.3">
      <c r="A14" s="4" t="s">
        <v>14</v>
      </c>
      <c r="B14" s="7">
        <v>0</v>
      </c>
      <c r="C14" s="4" t="s">
        <v>3</v>
      </c>
      <c r="D14" s="7">
        <v>0</v>
      </c>
    </row>
    <row r="15" spans="1:4" x14ac:dyDescent="0.3">
      <c r="A15" s="4" t="s">
        <v>15</v>
      </c>
      <c r="B15" s="7">
        <v>1889564.36</v>
      </c>
      <c r="C15" s="4" t="s">
        <v>3</v>
      </c>
      <c r="D15" s="7">
        <v>0</v>
      </c>
    </row>
    <row r="16" spans="1:4" x14ac:dyDescent="0.3">
      <c r="A16" s="4" t="s">
        <v>16</v>
      </c>
      <c r="B16" s="7">
        <v>200000</v>
      </c>
      <c r="C16" s="4" t="s">
        <v>3</v>
      </c>
      <c r="D16" s="7">
        <v>0</v>
      </c>
    </row>
    <row r="17" spans="1:4" x14ac:dyDescent="0.3">
      <c r="A17" s="4" t="s">
        <v>17</v>
      </c>
      <c r="B17" s="7">
        <v>203795.65</v>
      </c>
      <c r="C17" s="4" t="s">
        <v>3</v>
      </c>
      <c r="D17" s="7">
        <v>0</v>
      </c>
    </row>
    <row r="18" spans="1:4" x14ac:dyDescent="0.3">
      <c r="A18" s="4" t="s">
        <v>18</v>
      </c>
      <c r="B18" s="7">
        <v>3552576.5</v>
      </c>
      <c r="C18" s="4" t="s">
        <v>3</v>
      </c>
      <c r="D18" s="7">
        <v>0</v>
      </c>
    </row>
    <row r="19" spans="1:4" x14ac:dyDescent="0.3">
      <c r="A19" s="4" t="s">
        <v>19</v>
      </c>
      <c r="B19" s="7">
        <v>0</v>
      </c>
      <c r="C19" s="4" t="s">
        <v>3</v>
      </c>
      <c r="D19" s="7">
        <v>0</v>
      </c>
    </row>
    <row r="20" spans="1:4" x14ac:dyDescent="0.3">
      <c r="A20" s="4" t="s">
        <v>20</v>
      </c>
      <c r="B20" s="7">
        <v>1450.76</v>
      </c>
      <c r="C20" s="4" t="s">
        <v>3</v>
      </c>
      <c r="D20" s="7">
        <v>0</v>
      </c>
    </row>
    <row r="21" spans="1:4" x14ac:dyDescent="0.3">
      <c r="A21" s="4" t="s">
        <v>21</v>
      </c>
      <c r="B21" s="7">
        <v>98000</v>
      </c>
      <c r="C21" s="4" t="s">
        <v>3</v>
      </c>
      <c r="D21" s="7">
        <v>0</v>
      </c>
    </row>
    <row r="22" spans="1:4" x14ac:dyDescent="0.3">
      <c r="A22" s="4" t="s">
        <v>22</v>
      </c>
      <c r="B22" s="7">
        <v>1747.36</v>
      </c>
      <c r="C22" s="4" t="s">
        <v>3</v>
      </c>
      <c r="D22" s="7">
        <v>0</v>
      </c>
    </row>
    <row r="23" spans="1:4" x14ac:dyDescent="0.3">
      <c r="A23" s="4" t="s">
        <v>23</v>
      </c>
      <c r="B23" s="7">
        <v>103387.5</v>
      </c>
      <c r="C23" s="4" t="s">
        <v>3</v>
      </c>
      <c r="D23" s="7">
        <v>0</v>
      </c>
    </row>
    <row r="24" spans="1:4" x14ac:dyDescent="0.3">
      <c r="A24" s="4" t="s">
        <v>24</v>
      </c>
      <c r="B24" s="7">
        <v>37468707.75</v>
      </c>
      <c r="C24" s="4" t="s">
        <v>3</v>
      </c>
      <c r="D24" s="7">
        <v>0</v>
      </c>
    </row>
    <row r="25" spans="1:4" x14ac:dyDescent="0.3">
      <c r="A25" s="4" t="s">
        <v>25</v>
      </c>
      <c r="B25" s="7">
        <v>0</v>
      </c>
      <c r="C25" s="4" t="s">
        <v>3</v>
      </c>
      <c r="D25" s="7">
        <v>0</v>
      </c>
    </row>
    <row r="26" spans="1:4" x14ac:dyDescent="0.3">
      <c r="A26" s="4" t="s">
        <v>26</v>
      </c>
      <c r="B26" s="7">
        <v>3773661.59</v>
      </c>
      <c r="C26" s="4" t="s">
        <v>3</v>
      </c>
      <c r="D26" s="7">
        <v>0</v>
      </c>
    </row>
    <row r="27" spans="1:4" x14ac:dyDescent="0.3">
      <c r="A27" s="4" t="s">
        <v>27</v>
      </c>
      <c r="B27" s="7">
        <v>1336000</v>
      </c>
      <c r="C27" s="4" t="s">
        <v>3</v>
      </c>
      <c r="D27" s="7">
        <v>0</v>
      </c>
    </row>
    <row r="28" spans="1:4" x14ac:dyDescent="0.3">
      <c r="A28" s="4" t="s">
        <v>28</v>
      </c>
      <c r="B28" s="7">
        <v>0</v>
      </c>
      <c r="C28" s="4" t="s">
        <v>3</v>
      </c>
      <c r="D28" s="7">
        <v>0</v>
      </c>
    </row>
    <row r="29" spans="1:4" x14ac:dyDescent="0.3">
      <c r="A29" s="4" t="s">
        <v>29</v>
      </c>
      <c r="B29" s="7">
        <v>0</v>
      </c>
      <c r="C29" s="4" t="s">
        <v>3</v>
      </c>
      <c r="D29" s="7">
        <v>0</v>
      </c>
    </row>
    <row r="30" spans="1:4" x14ac:dyDescent="0.3">
      <c r="A30" s="4" t="s">
        <v>30</v>
      </c>
      <c r="B30" s="7">
        <v>0</v>
      </c>
      <c r="C30" s="4" t="s">
        <v>3</v>
      </c>
      <c r="D30" s="7">
        <v>0</v>
      </c>
    </row>
    <row r="31" spans="1:4" x14ac:dyDescent="0.3">
      <c r="A31" s="4" t="s">
        <v>31</v>
      </c>
      <c r="B31" s="7">
        <v>0</v>
      </c>
      <c r="C31" s="4" t="s">
        <v>3</v>
      </c>
      <c r="D31" s="7">
        <v>0</v>
      </c>
    </row>
    <row r="32" spans="1:4" x14ac:dyDescent="0.3">
      <c r="A32" s="4" t="s">
        <v>32</v>
      </c>
      <c r="B32" s="7">
        <v>0</v>
      </c>
      <c r="C32" s="4" t="s">
        <v>3</v>
      </c>
      <c r="D32" s="7">
        <v>0</v>
      </c>
    </row>
    <row r="33" spans="1:4" x14ac:dyDescent="0.3">
      <c r="A33" s="4" t="s">
        <v>33</v>
      </c>
      <c r="B33" s="7">
        <v>27411439.710000001</v>
      </c>
      <c r="C33" s="4" t="s">
        <v>3</v>
      </c>
      <c r="D33" s="7">
        <v>0</v>
      </c>
    </row>
    <row r="34" spans="1:4" x14ac:dyDescent="0.3">
      <c r="A34" s="4" t="s">
        <v>34</v>
      </c>
      <c r="B34" s="7">
        <v>5720000</v>
      </c>
      <c r="C34" s="4" t="s">
        <v>3</v>
      </c>
      <c r="D34" s="7">
        <v>0</v>
      </c>
    </row>
    <row r="35" spans="1:4" x14ac:dyDescent="0.3">
      <c r="A35" s="4" t="s">
        <v>35</v>
      </c>
      <c r="B35" s="7">
        <v>0</v>
      </c>
      <c r="C35" s="4" t="s">
        <v>3</v>
      </c>
      <c r="D35" s="7">
        <v>0</v>
      </c>
    </row>
    <row r="36" spans="1:4" x14ac:dyDescent="0.3">
      <c r="A36" s="4" t="s">
        <v>36</v>
      </c>
      <c r="B36" s="7">
        <v>29003270.82</v>
      </c>
      <c r="C36" s="4" t="s">
        <v>3</v>
      </c>
      <c r="D36" s="7">
        <v>0</v>
      </c>
    </row>
    <row r="37" spans="1:4" x14ac:dyDescent="0.3">
      <c r="A37" s="4" t="s">
        <v>37</v>
      </c>
      <c r="B37" s="7">
        <v>3001335</v>
      </c>
      <c r="C37" s="4" t="s">
        <v>3</v>
      </c>
      <c r="D37" s="7">
        <v>0</v>
      </c>
    </row>
    <row r="38" spans="1:4" x14ac:dyDescent="0.3">
      <c r="A38" s="4" t="s">
        <v>38</v>
      </c>
      <c r="B38" s="7">
        <v>4076900</v>
      </c>
      <c r="C38" s="4" t="s">
        <v>3</v>
      </c>
      <c r="D38" s="7">
        <v>0</v>
      </c>
    </row>
    <row r="39" spans="1:4" x14ac:dyDescent="0.3">
      <c r="A39" s="4" t="s">
        <v>39</v>
      </c>
      <c r="B39" s="7">
        <v>3298042.4</v>
      </c>
      <c r="C39" s="4" t="s">
        <v>3</v>
      </c>
      <c r="D39" s="7">
        <v>0</v>
      </c>
    </row>
    <row r="40" spans="1:4" x14ac:dyDescent="0.3">
      <c r="A40" s="4" t="s">
        <v>40</v>
      </c>
      <c r="B40" s="7">
        <v>6584000</v>
      </c>
      <c r="C40" s="4" t="s">
        <v>3</v>
      </c>
      <c r="D40" s="7">
        <v>0</v>
      </c>
    </row>
    <row r="41" spans="1:4" x14ac:dyDescent="0.3">
      <c r="A41" s="4" t="s">
        <v>41</v>
      </c>
      <c r="B41" s="7">
        <v>7084157.5</v>
      </c>
      <c r="C41" s="4" t="s">
        <v>3</v>
      </c>
      <c r="D41" s="7">
        <v>0</v>
      </c>
    </row>
    <row r="42" spans="1:4" x14ac:dyDescent="0.3">
      <c r="A42" s="4" t="s">
        <v>42</v>
      </c>
      <c r="B42" s="7">
        <v>180000</v>
      </c>
      <c r="C42" s="4" t="s">
        <v>3</v>
      </c>
      <c r="D42" s="7">
        <v>0</v>
      </c>
    </row>
    <row r="43" spans="1:4" x14ac:dyDescent="0.3">
      <c r="A43" s="4" t="s">
        <v>43</v>
      </c>
      <c r="B43" s="7">
        <v>103500</v>
      </c>
      <c r="C43" s="4" t="s">
        <v>3</v>
      </c>
      <c r="D43" s="7">
        <v>0</v>
      </c>
    </row>
    <row r="44" spans="1:4" x14ac:dyDescent="0.3">
      <c r="A44" s="4" t="s">
        <v>44</v>
      </c>
      <c r="B44" s="7">
        <v>106426000</v>
      </c>
      <c r="C44" s="4" t="s">
        <v>3</v>
      </c>
      <c r="D44" s="7">
        <v>0</v>
      </c>
    </row>
    <row r="45" spans="1:4" customFormat="1" ht="14.5" x14ac:dyDescent="0.35">
      <c r="A45" s="8"/>
      <c r="B45" s="9"/>
      <c r="C45" s="10"/>
      <c r="D45" s="11"/>
    </row>
    <row r="46" spans="1:4" x14ac:dyDescent="0.3">
      <c r="A46" s="4" t="s">
        <v>45</v>
      </c>
      <c r="B46" s="4" t="s">
        <v>3</v>
      </c>
      <c r="C46" s="7">
        <f>ROUND(SUBTOTAL(9, B2:B45), 5)</f>
        <v>252978152.09</v>
      </c>
      <c r="D46" s="7">
        <f>ROUND(SUBTOTAL(9, D2:D45), 5)</f>
        <v>0</v>
      </c>
    </row>
    <row r="47" spans="1:4" x14ac:dyDescent="0.3">
      <c r="A47" s="2" t="s">
        <v>3</v>
      </c>
    </row>
    <row r="48" spans="1:4" x14ac:dyDescent="0.3">
      <c r="A48" s="4" t="s">
        <v>46</v>
      </c>
    </row>
    <row r="49" spans="1:4" x14ac:dyDescent="0.3">
      <c r="A49" s="4" t="s">
        <v>47</v>
      </c>
      <c r="B49" s="7">
        <v>258846919</v>
      </c>
      <c r="C49" s="4" t="s">
        <v>3</v>
      </c>
      <c r="D49" s="7">
        <v>0</v>
      </c>
    </row>
    <row r="50" spans="1:4" x14ac:dyDescent="0.3">
      <c r="A50" s="4" t="s">
        <v>48</v>
      </c>
      <c r="B50" s="7">
        <v>26360000</v>
      </c>
      <c r="C50" s="4" t="s">
        <v>3</v>
      </c>
      <c r="D50" s="7">
        <v>0</v>
      </c>
    </row>
    <row r="51" spans="1:4" x14ac:dyDescent="0.3">
      <c r="A51" s="4" t="s">
        <v>49</v>
      </c>
      <c r="B51" s="7">
        <v>36025489</v>
      </c>
      <c r="C51" s="4" t="s">
        <v>3</v>
      </c>
      <c r="D51" s="7">
        <v>0</v>
      </c>
    </row>
    <row r="52" spans="1:4" x14ac:dyDescent="0.3">
      <c r="A52" s="4" t="s">
        <v>50</v>
      </c>
      <c r="B52" s="7">
        <v>167303171.24000001</v>
      </c>
      <c r="C52" s="4" t="s">
        <v>3</v>
      </c>
      <c r="D52" s="7">
        <v>0</v>
      </c>
    </row>
    <row r="53" spans="1:4" x14ac:dyDescent="0.3">
      <c r="A53" s="4" t="s">
        <v>51</v>
      </c>
      <c r="B53" s="7">
        <v>33224250</v>
      </c>
      <c r="C53" s="4" t="s">
        <v>3</v>
      </c>
      <c r="D53" s="7">
        <v>0</v>
      </c>
    </row>
    <row r="54" spans="1:4" x14ac:dyDescent="0.3">
      <c r="A54" s="4" t="s">
        <v>52</v>
      </c>
      <c r="B54" s="7">
        <v>9603110</v>
      </c>
      <c r="C54" s="4" t="s">
        <v>3</v>
      </c>
      <c r="D54" s="7">
        <v>0</v>
      </c>
    </row>
    <row r="55" spans="1:4" x14ac:dyDescent="0.3">
      <c r="A55" s="4" t="s">
        <v>53</v>
      </c>
      <c r="B55" s="7">
        <v>-31824990.34</v>
      </c>
      <c r="C55" s="4" t="s">
        <v>3</v>
      </c>
      <c r="D55" s="7">
        <v>0</v>
      </c>
    </row>
    <row r="56" spans="1:4" x14ac:dyDescent="0.3">
      <c r="A56" s="4" t="s">
        <v>54</v>
      </c>
      <c r="B56" s="7">
        <v>-15117000</v>
      </c>
      <c r="C56" s="4" t="s">
        <v>3</v>
      </c>
      <c r="D56" s="7">
        <v>0</v>
      </c>
    </row>
    <row r="57" spans="1:4" x14ac:dyDescent="0.3">
      <c r="A57" s="4" t="s">
        <v>55</v>
      </c>
      <c r="B57" s="7">
        <v>-13999497</v>
      </c>
      <c r="C57" s="4" t="s">
        <v>3</v>
      </c>
      <c r="D57" s="7">
        <v>0</v>
      </c>
    </row>
    <row r="58" spans="1:4" x14ac:dyDescent="0.3">
      <c r="A58" s="4" t="s">
        <v>56</v>
      </c>
      <c r="B58" s="7">
        <v>-24858100</v>
      </c>
      <c r="C58" s="4" t="s">
        <v>3</v>
      </c>
      <c r="D58" s="7">
        <v>0</v>
      </c>
    </row>
    <row r="59" spans="1:4" x14ac:dyDescent="0.3">
      <c r="A59" s="4" t="s">
        <v>57</v>
      </c>
      <c r="B59" s="7">
        <v>-13766000</v>
      </c>
      <c r="C59" s="4" t="s">
        <v>3</v>
      </c>
      <c r="D59" s="7">
        <v>0</v>
      </c>
    </row>
    <row r="60" spans="1:4" x14ac:dyDescent="0.3">
      <c r="A60" s="4" t="s">
        <v>58</v>
      </c>
      <c r="B60" s="7">
        <v>-3743910</v>
      </c>
      <c r="C60" s="4" t="s">
        <v>3</v>
      </c>
      <c r="D60" s="7">
        <v>0</v>
      </c>
    </row>
    <row r="61" spans="1:4" customFormat="1" ht="14.5" x14ac:dyDescent="0.35">
      <c r="A61" s="8"/>
      <c r="B61" s="9"/>
      <c r="C61" s="10"/>
      <c r="D61" s="11"/>
    </row>
    <row r="62" spans="1:4" x14ac:dyDescent="0.3">
      <c r="A62" s="4" t="s">
        <v>59</v>
      </c>
      <c r="B62" s="4" t="s">
        <v>3</v>
      </c>
      <c r="C62" s="7">
        <f>ROUND(SUBTOTAL(9, B47:B61), 5)</f>
        <v>428053441.89999998</v>
      </c>
      <c r="D62" s="7">
        <f>ROUND(SUBTOTAL(9, D47:D61), 5)</f>
        <v>0</v>
      </c>
    </row>
    <row r="63" spans="1:4" x14ac:dyDescent="0.3">
      <c r="A63" s="2" t="s">
        <v>3</v>
      </c>
    </row>
    <row r="64" spans="1:4" x14ac:dyDescent="0.3">
      <c r="A64" s="4" t="s">
        <v>60</v>
      </c>
    </row>
    <row r="65" spans="1:4" x14ac:dyDescent="0.3">
      <c r="A65" s="4" t="s">
        <v>61</v>
      </c>
      <c r="B65" s="7">
        <v>35000000</v>
      </c>
      <c r="C65" s="4" t="s">
        <v>3</v>
      </c>
      <c r="D65" s="7">
        <v>0</v>
      </c>
    </row>
    <row r="66" spans="1:4" customFormat="1" ht="14.5" x14ac:dyDescent="0.35">
      <c r="A66" s="8"/>
      <c r="B66" s="9"/>
      <c r="C66" s="10"/>
      <c r="D66" s="11"/>
    </row>
    <row r="67" spans="1:4" x14ac:dyDescent="0.3">
      <c r="A67" s="4" t="s">
        <v>62</v>
      </c>
      <c r="B67" s="4" t="s">
        <v>3</v>
      </c>
      <c r="C67" s="7">
        <f>ROUND(SUBTOTAL(9, B63:B66), 5)</f>
        <v>35000000</v>
      </c>
      <c r="D67" s="7">
        <f>ROUND(SUBTOTAL(9, D63:D66), 5)</f>
        <v>0</v>
      </c>
    </row>
    <row r="68" spans="1:4" customFormat="1" ht="14.5" x14ac:dyDescent="0.35">
      <c r="A68" s="8"/>
      <c r="B68" s="8"/>
      <c r="C68" s="11"/>
      <c r="D68" s="11"/>
    </row>
    <row r="69" spans="1:4" ht="13.5" thickBot="1" x14ac:dyDescent="0.35">
      <c r="A69" s="4" t="s">
        <v>63</v>
      </c>
      <c r="B69" s="4" t="s">
        <v>3</v>
      </c>
      <c r="C69" s="6">
        <f>ROUND(C46+C62+C67, 5)</f>
        <v>716031593.99000001</v>
      </c>
      <c r="D69" s="7">
        <f>ROUND(D46+D62+D67, 5)</f>
        <v>0</v>
      </c>
    </row>
    <row r="70" spans="1:4" customFormat="1" ht="15" thickTop="1" x14ac:dyDescent="0.35">
      <c r="A70" s="8"/>
      <c r="B70" s="8"/>
      <c r="C70" s="12"/>
      <c r="D70" s="12"/>
    </row>
    <row r="71" spans="1:4" x14ac:dyDescent="0.3">
      <c r="A71" s="2" t="s">
        <v>3</v>
      </c>
    </row>
    <row r="72" spans="1:4" x14ac:dyDescent="0.3">
      <c r="A72" s="2" t="s">
        <v>3</v>
      </c>
    </row>
    <row r="73" spans="1:4" x14ac:dyDescent="0.3">
      <c r="A73" s="2" t="s">
        <v>64</v>
      </c>
    </row>
    <row r="74" spans="1:4" x14ac:dyDescent="0.3">
      <c r="A74" s="2" t="s">
        <v>3</v>
      </c>
    </row>
    <row r="75" spans="1:4" x14ac:dyDescent="0.3">
      <c r="A75" s="4" t="s">
        <v>65</v>
      </c>
    </row>
    <row r="76" spans="1:4" x14ac:dyDescent="0.3">
      <c r="A76" s="4" t="s">
        <v>66</v>
      </c>
      <c r="B76" s="6">
        <v>0</v>
      </c>
      <c r="C76" s="4" t="s">
        <v>3</v>
      </c>
      <c r="D76" s="7">
        <v>0</v>
      </c>
    </row>
    <row r="77" spans="1:4" x14ac:dyDescent="0.3">
      <c r="A77" s="4" t="s">
        <v>67</v>
      </c>
      <c r="B77" s="7">
        <v>0</v>
      </c>
      <c r="C77" s="4" t="s">
        <v>3</v>
      </c>
      <c r="D77" s="7">
        <v>0</v>
      </c>
    </row>
    <row r="78" spans="1:4" x14ac:dyDescent="0.3">
      <c r="A78" s="4" t="s">
        <v>68</v>
      </c>
      <c r="B78" s="7">
        <v>0</v>
      </c>
      <c r="C78" s="4" t="s">
        <v>3</v>
      </c>
      <c r="D78" s="7">
        <v>0</v>
      </c>
    </row>
    <row r="79" spans="1:4" x14ac:dyDescent="0.3">
      <c r="A79" s="4" t="s">
        <v>69</v>
      </c>
      <c r="B79" s="7">
        <v>301607.81</v>
      </c>
      <c r="C79" s="4" t="s">
        <v>3</v>
      </c>
      <c r="D79" s="7">
        <v>0</v>
      </c>
    </row>
    <row r="80" spans="1:4" x14ac:dyDescent="0.3">
      <c r="A80" s="4" t="s">
        <v>70</v>
      </c>
      <c r="B80" s="7">
        <v>0</v>
      </c>
      <c r="C80" s="4" t="s">
        <v>3</v>
      </c>
      <c r="D80" s="7">
        <v>0</v>
      </c>
    </row>
    <row r="81" spans="1:4" x14ac:dyDescent="0.3">
      <c r="A81" s="4" t="s">
        <v>71</v>
      </c>
      <c r="B81" s="7">
        <v>76250</v>
      </c>
      <c r="C81" s="4" t="s">
        <v>3</v>
      </c>
      <c r="D81" s="7">
        <v>0</v>
      </c>
    </row>
    <row r="82" spans="1:4" x14ac:dyDescent="0.3">
      <c r="A82" s="4" t="s">
        <v>72</v>
      </c>
      <c r="B82" s="7">
        <v>0</v>
      </c>
      <c r="C82" s="4" t="s">
        <v>3</v>
      </c>
      <c r="D82" s="7">
        <v>0</v>
      </c>
    </row>
    <row r="83" spans="1:4" x14ac:dyDescent="0.3">
      <c r="A83" s="4" t="s">
        <v>73</v>
      </c>
      <c r="B83" s="7">
        <v>0</v>
      </c>
      <c r="C83" s="4" t="s">
        <v>3</v>
      </c>
      <c r="D83" s="7">
        <v>0</v>
      </c>
    </row>
    <row r="84" spans="1:4" x14ac:dyDescent="0.3">
      <c r="A84" s="4" t="s">
        <v>74</v>
      </c>
      <c r="B84" s="7">
        <v>0</v>
      </c>
      <c r="C84" s="4" t="s">
        <v>3</v>
      </c>
      <c r="D84" s="7">
        <v>0</v>
      </c>
    </row>
    <row r="85" spans="1:4" x14ac:dyDescent="0.3">
      <c r="A85" s="4" t="s">
        <v>75</v>
      </c>
      <c r="B85" s="7">
        <v>0</v>
      </c>
      <c r="C85" s="4" t="s">
        <v>3</v>
      </c>
      <c r="D85" s="7">
        <v>0</v>
      </c>
    </row>
    <row r="86" spans="1:4" x14ac:dyDescent="0.3">
      <c r="A86" s="4" t="s">
        <v>76</v>
      </c>
      <c r="B86" s="7">
        <v>0</v>
      </c>
      <c r="C86" s="4" t="s">
        <v>3</v>
      </c>
      <c r="D86" s="7">
        <v>0</v>
      </c>
    </row>
    <row r="87" spans="1:4" x14ac:dyDescent="0.3">
      <c r="A87" s="4" t="s">
        <v>77</v>
      </c>
      <c r="B87" s="7">
        <v>-2318000</v>
      </c>
      <c r="C87" s="4" t="s">
        <v>3</v>
      </c>
      <c r="D87" s="7">
        <v>0</v>
      </c>
    </row>
    <row r="88" spans="1:4" x14ac:dyDescent="0.3">
      <c r="A88" s="4" t="s">
        <v>78</v>
      </c>
      <c r="B88" s="7">
        <v>0</v>
      </c>
      <c r="C88" s="4" t="s">
        <v>3</v>
      </c>
      <c r="D88" s="7">
        <v>0</v>
      </c>
    </row>
    <row r="89" spans="1:4" x14ac:dyDescent="0.3">
      <c r="A89" s="4" t="s">
        <v>39</v>
      </c>
      <c r="B89" s="7">
        <v>0</v>
      </c>
      <c r="C89" s="4" t="s">
        <v>3</v>
      </c>
      <c r="D89" s="7">
        <v>0</v>
      </c>
    </row>
    <row r="90" spans="1:4" x14ac:dyDescent="0.3">
      <c r="A90" s="4" t="s">
        <v>36</v>
      </c>
      <c r="B90" s="7">
        <v>0</v>
      </c>
      <c r="C90" s="4" t="s">
        <v>3</v>
      </c>
      <c r="D90" s="7">
        <v>0</v>
      </c>
    </row>
    <row r="91" spans="1:4" x14ac:dyDescent="0.3">
      <c r="A91" s="4" t="s">
        <v>79</v>
      </c>
      <c r="B91" s="7">
        <v>0</v>
      </c>
      <c r="C91" s="4" t="s">
        <v>3</v>
      </c>
      <c r="D91" s="7">
        <v>0</v>
      </c>
    </row>
    <row r="92" spans="1:4" customFormat="1" ht="14.5" x14ac:dyDescent="0.35">
      <c r="A92" s="8"/>
      <c r="B92" s="9"/>
      <c r="C92" s="10"/>
      <c r="D92" s="11"/>
    </row>
    <row r="93" spans="1:4" x14ac:dyDescent="0.3">
      <c r="A93" s="4" t="s">
        <v>80</v>
      </c>
      <c r="B93" s="4" t="s">
        <v>3</v>
      </c>
      <c r="C93" s="7">
        <f>ROUND(SUBTOTAL(9, B71:B92), 5)</f>
        <v>-1940142.19</v>
      </c>
      <c r="D93" s="7">
        <f>ROUND(SUBTOTAL(9, D71:D92), 5)</f>
        <v>0</v>
      </c>
    </row>
    <row r="94" spans="1:4" x14ac:dyDescent="0.3">
      <c r="A94" s="2" t="s">
        <v>3</v>
      </c>
    </row>
    <row r="95" spans="1:4" x14ac:dyDescent="0.3">
      <c r="A95" s="4" t="s">
        <v>81</v>
      </c>
    </row>
    <row r="96" spans="1:4" x14ac:dyDescent="0.3">
      <c r="A96" s="4" t="s">
        <v>82</v>
      </c>
      <c r="B96" s="7">
        <v>0</v>
      </c>
      <c r="C96" s="4" t="s">
        <v>3</v>
      </c>
      <c r="D96" s="7">
        <v>0</v>
      </c>
    </row>
    <row r="97" spans="1:4" customFormat="1" ht="14.5" x14ac:dyDescent="0.35">
      <c r="A97" s="8"/>
      <c r="B97" s="9"/>
      <c r="C97" s="10"/>
      <c r="D97" s="11"/>
    </row>
    <row r="98" spans="1:4" x14ac:dyDescent="0.3">
      <c r="A98" s="4" t="s">
        <v>83</v>
      </c>
      <c r="B98" s="4" t="s">
        <v>3</v>
      </c>
      <c r="C98" s="7">
        <f>ROUND(SUBTOTAL(9, B94:B97), 5)</f>
        <v>0</v>
      </c>
      <c r="D98" s="7">
        <f>ROUND(SUBTOTAL(9, D94:D97), 5)</f>
        <v>0</v>
      </c>
    </row>
    <row r="99" spans="1:4" customFormat="1" ht="14.5" x14ac:dyDescent="0.35">
      <c r="A99" s="8"/>
      <c r="B99" s="8"/>
      <c r="C99" s="11"/>
      <c r="D99" s="11"/>
    </row>
    <row r="100" spans="1:4" x14ac:dyDescent="0.3">
      <c r="A100" s="4" t="s">
        <v>84</v>
      </c>
      <c r="B100" s="4" t="s">
        <v>3</v>
      </c>
      <c r="C100" s="7">
        <f>-(ROUND(-C93+-C98, 5))</f>
        <v>-1940142.19</v>
      </c>
      <c r="D100" s="7">
        <f>-(ROUND(-D93+-D98, 5))</f>
        <v>0</v>
      </c>
    </row>
    <row r="101" spans="1:4" x14ac:dyDescent="0.3">
      <c r="A101" s="2" t="s">
        <v>3</v>
      </c>
    </row>
    <row r="102" spans="1:4" x14ac:dyDescent="0.3">
      <c r="A102" s="4" t="s">
        <v>85</v>
      </c>
    </row>
    <row r="103" spans="1:4" x14ac:dyDescent="0.3">
      <c r="A103" s="4" t="s">
        <v>86</v>
      </c>
      <c r="B103" s="7">
        <v>0</v>
      </c>
      <c r="C103" s="4" t="s">
        <v>3</v>
      </c>
      <c r="D103" s="7">
        <v>0</v>
      </c>
    </row>
    <row r="104" spans="1:4" x14ac:dyDescent="0.3">
      <c r="A104" s="4" t="s">
        <v>87</v>
      </c>
      <c r="B104" s="7">
        <v>510617303.5</v>
      </c>
      <c r="C104" s="4" t="s">
        <v>3</v>
      </c>
      <c r="D104" s="7">
        <v>0</v>
      </c>
    </row>
    <row r="105" spans="1:4" x14ac:dyDescent="0.3">
      <c r="A105" s="4" t="s">
        <v>88</v>
      </c>
      <c r="B105" s="7">
        <v>107805981.75</v>
      </c>
      <c r="C105" s="4" t="s">
        <v>3</v>
      </c>
      <c r="D105" s="7">
        <v>0</v>
      </c>
    </row>
    <row r="106" spans="1:4" x14ac:dyDescent="0.3">
      <c r="A106" s="4" t="s">
        <v>89</v>
      </c>
      <c r="B106" s="7">
        <v>0</v>
      </c>
      <c r="C106" s="4" t="s">
        <v>3</v>
      </c>
      <c r="D106" s="7">
        <v>0</v>
      </c>
    </row>
    <row r="107" spans="1:4" x14ac:dyDescent="0.3">
      <c r="A107" s="4" t="s">
        <v>90</v>
      </c>
      <c r="B107" s="7">
        <v>0</v>
      </c>
      <c r="C107" s="4" t="s">
        <v>3</v>
      </c>
      <c r="D107" s="7">
        <v>0</v>
      </c>
    </row>
    <row r="108" spans="1:4" x14ac:dyDescent="0.3">
      <c r="A108" s="4" t="s">
        <v>91</v>
      </c>
      <c r="B108" s="7">
        <v>99548450.930000007</v>
      </c>
      <c r="C108" s="4" t="s">
        <v>3</v>
      </c>
      <c r="D108" s="7">
        <v>0</v>
      </c>
    </row>
    <row r="109" spans="1:4" customFormat="1" ht="14.5" x14ac:dyDescent="0.35">
      <c r="A109" s="8"/>
      <c r="B109" s="9"/>
      <c r="C109" s="10"/>
      <c r="D109" s="11"/>
    </row>
    <row r="110" spans="1:4" x14ac:dyDescent="0.3">
      <c r="A110" s="4" t="s">
        <v>92</v>
      </c>
      <c r="B110" s="4" t="s">
        <v>3</v>
      </c>
      <c r="C110" s="7">
        <f>ROUND(SUBTOTAL(9, B101:B109), 5)</f>
        <v>717971736.17999995</v>
      </c>
      <c r="D110" s="7">
        <f>ROUND(SUBTOTAL(9, D101:D109), 5)</f>
        <v>0</v>
      </c>
    </row>
    <row r="111" spans="1:4" customFormat="1" ht="14.5" x14ac:dyDescent="0.35">
      <c r="A111" s="8"/>
      <c r="B111" s="8"/>
      <c r="C111" s="11"/>
      <c r="D111" s="11"/>
    </row>
    <row r="112" spans="1:4" ht="13.5" thickBot="1" x14ac:dyDescent="0.35">
      <c r="A112" s="4" t="s">
        <v>93</v>
      </c>
      <c r="B112" s="4" t="s">
        <v>3</v>
      </c>
      <c r="C112" s="6">
        <f>-(ROUND(-C100+-C110, 5))</f>
        <v>716031593.99000001</v>
      </c>
      <c r="D112" s="7">
        <f>-(ROUND(-D100+-D110, 5))</f>
        <v>0</v>
      </c>
    </row>
    <row r="113" spans="1:4" customFormat="1" ht="15.5" thickTop="1" thickBot="1" x14ac:dyDescent="0.4">
      <c r="A113" s="13"/>
      <c r="B113" s="13"/>
      <c r="C113" s="14"/>
      <c r="D113" s="14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&amp;10ROYAN HOSPITAL
Balance Sheet Compared with Budget
December 31, 2024
&amp;L&amp;"Times New Roman"&amp;8
&amp;10
</oddHeader>
    <oddFooter>&amp;L&amp;10&amp;"Times New Roman"&amp;D at &amp;T&amp;R&amp;10&amp;"Times New Roman"Page: &amp;P&amp;C&amp;10&amp;"Times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Sheet-Budg.</vt:lpstr>
      <vt:lpstr>'Balance Sheet-Budg.'!Print_Titles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2026-10-02T12:30:39Z</dcterms:created>
  <dcterms:modified xsi:type="dcterms:W3CDTF">2026-10-02T12:31:05Z</dcterms:modified>
</cp:coreProperties>
</file>