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A8BAA49-9C64-4A90-849B-465BB7E1E49A}" xr6:coauthVersionLast="47" xr6:coauthVersionMax="47" xr10:uidLastSave="{00000000-0000-0000-0000-000000000000}"/>
  <bookViews>
    <workbookView xWindow="-110" yWindow="-110" windowWidth="19420" windowHeight="10300" xr2:uid="{6514A53B-2AB3-4DFC-B304-EDAA2A37C61D}"/>
  </bookViews>
  <sheets>
    <sheet name="Cash Flow" sheetId="1" r:id="rId1"/>
  </sheets>
  <definedNames>
    <definedName name="_xlnm.Print_Titles" localSheetId="0">'Cash Flow'!$1:$1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" l="1"/>
  <c r="B91" i="1"/>
  <c r="C82" i="1"/>
  <c r="B82" i="1"/>
  <c r="C80" i="1"/>
  <c r="B80" i="1"/>
  <c r="C63" i="1"/>
  <c r="B63" i="1"/>
  <c r="C50" i="1"/>
  <c r="B50" i="1"/>
  <c r="C48" i="1"/>
  <c r="B48" i="1"/>
  <c r="C5" i="1"/>
  <c r="B5" i="1"/>
</calcChain>
</file>

<file path=xl/sharedStrings.xml><?xml version="1.0" encoding="utf-8"?>
<sst xmlns="http://schemas.openxmlformats.org/spreadsheetml/2006/main" count="83" uniqueCount="69">
  <si>
    <t>Current
Month</t>
  </si>
  <si>
    <t>Year to Date</t>
  </si>
  <si>
    <t/>
  </si>
  <si>
    <t>Cash Flows from operating activities</t>
  </si>
  <si>
    <t>Net Income</t>
  </si>
  <si>
    <t>Adjustments to reconcile net</t>
  </si>
  <si>
    <t>income to net cash provided</t>
  </si>
  <si>
    <t>by operating activities</t>
  </si>
  <si>
    <t>Accumulated Dep Land&amp; Building</t>
  </si>
  <si>
    <t>Accumulated Dep.Motor Vehicle</t>
  </si>
  <si>
    <t>Accumulated DepPlant&amp;Machinery</t>
  </si>
  <si>
    <t>Accumulated Dep.Hospital Equip</t>
  </si>
  <si>
    <t>Accumulated Dep.Office Equip.</t>
  </si>
  <si>
    <t>Accumulated Dep.Hospital Fur.</t>
  </si>
  <si>
    <t>Accounts Receivable</t>
  </si>
  <si>
    <t>Allowance for Doubtful Account</t>
  </si>
  <si>
    <t>Inventory</t>
  </si>
  <si>
    <t>Prepaid Expenses</t>
  </si>
  <si>
    <t>Scancare Current A/C</t>
  </si>
  <si>
    <t>Loan Recievable</t>
  </si>
  <si>
    <t>Land Recievable</t>
  </si>
  <si>
    <t>MD Current Account ZENITH 1</t>
  </si>
  <si>
    <t>MD Current Account KEYSTONE1</t>
  </si>
  <si>
    <t>MD Current Account KEYSTONE 2</t>
  </si>
  <si>
    <t>MD Current Account ACCESS 1</t>
  </si>
  <si>
    <t>MD Current Account ACCESS 2</t>
  </si>
  <si>
    <t>MD Current Account ECO BANK</t>
  </si>
  <si>
    <t>MD Current Account IBTC BANK</t>
  </si>
  <si>
    <t>MD'S Current Account Syke Bank</t>
  </si>
  <si>
    <t>MD'S Current Account Fidelity</t>
  </si>
  <si>
    <t>Accounts Payable</t>
  </si>
  <si>
    <t>Accounts Payable/Salaries</t>
  </si>
  <si>
    <t>Land Beneficiary Payable A/C</t>
  </si>
  <si>
    <t>Deductions Payable</t>
  </si>
  <si>
    <t>Federal Payroll Taxes Payable</t>
  </si>
  <si>
    <t>Withholding tax</t>
  </si>
  <si>
    <t>State Payroll Taxes Payable</t>
  </si>
  <si>
    <t>Pensions Contributions</t>
  </si>
  <si>
    <t>M.D'S Current A/C KEYSTONE 2</t>
  </si>
  <si>
    <t>M.D'S Current A/C KEYSTONE 1</t>
  </si>
  <si>
    <t>M.D'S Currents A/C ECO BANK</t>
  </si>
  <si>
    <t>M.D'S Currents Account IBTC</t>
  </si>
  <si>
    <t>M D Current Account ACCESS 2</t>
  </si>
  <si>
    <t>MD Current Account ZENITH 2</t>
  </si>
  <si>
    <t>Total Adjustments</t>
  </si>
  <si>
    <t>Net Cash provided by Operations</t>
  </si>
  <si>
    <t>Cash Flows from investing activities</t>
  </si>
  <si>
    <t>Used For</t>
  </si>
  <si>
    <t>Land and Building</t>
  </si>
  <si>
    <t>Motor Vehicles</t>
  </si>
  <si>
    <t>Plant and Machinery</t>
  </si>
  <si>
    <t>Hospital Equipment</t>
  </si>
  <si>
    <t>Office Equipment</t>
  </si>
  <si>
    <t>Hospital Furnitures</t>
  </si>
  <si>
    <t>INVESTMENT</t>
  </si>
  <si>
    <t>Net cash used in investing</t>
  </si>
  <si>
    <t>Cash Flows from financing activities</t>
  </si>
  <si>
    <t>Proceeds From</t>
  </si>
  <si>
    <t>Long Term Debt-Noncurrent</t>
  </si>
  <si>
    <t>Beginning Balance Equity</t>
  </si>
  <si>
    <t>Paid-in Capital</t>
  </si>
  <si>
    <t>Common Stock</t>
  </si>
  <si>
    <t>Capital's in Bank</t>
  </si>
  <si>
    <t>Net cash used in financing</t>
  </si>
  <si>
    <t>Net increase &lt;decrease&gt; in cash</t>
  </si>
  <si>
    <t>Summary</t>
  </si>
  <si>
    <t>Cash Balance at End of Period</t>
  </si>
  <si>
    <t>Cash Balance at Beg of Period</t>
  </si>
  <si>
    <t>Net Increase &lt;Decrease&gt;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</si>
</sst>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5FB6-44A6-44B2-B111-258FBC6E2689}">
  <dimension ref="A1:C92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7.6328125" style="1" customWidth="1"/>
    <col min="2" max="2" width="15.6328125" style="1" customWidth="1"/>
    <col min="3" max="3" width="16.6328125" style="1" customWidth="1"/>
    <col min="4" max="16384" width="8.7265625" style="1"/>
  </cols>
  <sheetData>
    <row r="1" spans="1:3" ht="26" x14ac:dyDescent="0.3">
      <c r="A1" s="2"/>
      <c r="B1" s="3" t="s">
        <v>0</v>
      </c>
      <c r="C1" s="4" t="s">
        <v>1</v>
      </c>
    </row>
    <row r="2" spans="1:3" x14ac:dyDescent="0.3">
      <c r="A2" s="2" t="s">
        <v>2</v>
      </c>
    </row>
    <row r="3" spans="1:3" x14ac:dyDescent="0.3">
      <c r="A3" s="5" t="s">
        <v>3</v>
      </c>
    </row>
    <row r="4" spans="1:3" x14ac:dyDescent="0.3">
      <c r="A4" s="5" t="s">
        <v>4</v>
      </c>
      <c r="B4" s="6">
        <v>334844150.25</v>
      </c>
      <c r="C4" s="6">
        <v>99548450.930000007</v>
      </c>
    </row>
    <row r="5" spans="1:3" hidden="1" x14ac:dyDescent="0.3">
      <c r="A5" s="5" t="s">
        <v>2</v>
      </c>
      <c r="B5" s="7">
        <f>ROUND(SUBTOTAL(9, B2:B4), 5)</f>
        <v>334844150.25</v>
      </c>
      <c r="C5" s="7">
        <f>ROUND(SUBTOTAL(9, C2:C4), 5)</f>
        <v>99548450.930000007</v>
      </c>
    </row>
    <row r="6" spans="1:3" x14ac:dyDescent="0.3">
      <c r="A6" s="5" t="s">
        <v>5</v>
      </c>
    </row>
    <row r="7" spans="1:3" x14ac:dyDescent="0.3">
      <c r="A7" s="5" t="s">
        <v>6</v>
      </c>
    </row>
    <row r="8" spans="1:3" x14ac:dyDescent="0.3">
      <c r="A8" s="5" t="s">
        <v>7</v>
      </c>
    </row>
    <row r="9" spans="1:3" x14ac:dyDescent="0.3">
      <c r="A9" s="5" t="s">
        <v>8</v>
      </c>
      <c r="B9" s="7">
        <v>11080157.52</v>
      </c>
      <c r="C9" s="7">
        <v>2770039.38</v>
      </c>
    </row>
    <row r="10" spans="1:3" x14ac:dyDescent="0.3">
      <c r="A10" s="5" t="s">
        <v>9</v>
      </c>
      <c r="B10" s="7">
        <v>4440000</v>
      </c>
      <c r="C10" s="7">
        <v>1110000</v>
      </c>
    </row>
    <row r="11" spans="1:3" x14ac:dyDescent="0.3">
      <c r="A11" s="5" t="s">
        <v>10</v>
      </c>
      <c r="B11" s="7">
        <v>3995697</v>
      </c>
      <c r="C11" s="7">
        <v>1331899</v>
      </c>
    </row>
    <row r="12" spans="1:3" x14ac:dyDescent="0.3">
      <c r="A12" s="5" t="s">
        <v>11</v>
      </c>
      <c r="B12" s="7">
        <v>8787900</v>
      </c>
      <c r="C12" s="7">
        <v>2228850</v>
      </c>
    </row>
    <row r="13" spans="1:3" x14ac:dyDescent="0.3">
      <c r="A13" s="5" t="s">
        <v>12</v>
      </c>
      <c r="B13" s="7">
        <v>5227050</v>
      </c>
      <c r="C13" s="7">
        <v>1204950</v>
      </c>
    </row>
    <row r="14" spans="1:3" x14ac:dyDescent="0.3">
      <c r="A14" s="5" t="s">
        <v>13</v>
      </c>
      <c r="B14" s="7">
        <v>990510</v>
      </c>
      <c r="C14" s="7">
        <v>264770</v>
      </c>
    </row>
    <row r="15" spans="1:3" x14ac:dyDescent="0.3">
      <c r="A15" s="5" t="s">
        <v>14</v>
      </c>
      <c r="B15" s="7">
        <v>0</v>
      </c>
      <c r="C15" s="7">
        <v>0</v>
      </c>
    </row>
    <row r="16" spans="1:3" x14ac:dyDescent="0.3">
      <c r="A16" s="5" t="s">
        <v>15</v>
      </c>
      <c r="B16" s="7">
        <v>0</v>
      </c>
      <c r="C16" s="7">
        <v>0</v>
      </c>
    </row>
    <row r="17" spans="1:3" x14ac:dyDescent="0.3">
      <c r="A17" s="5" t="s">
        <v>16</v>
      </c>
      <c r="B17" s="7">
        <v>0</v>
      </c>
      <c r="C17" s="7">
        <v>0</v>
      </c>
    </row>
    <row r="18" spans="1:3" x14ac:dyDescent="0.3">
      <c r="A18" s="5" t="s">
        <v>17</v>
      </c>
      <c r="B18" s="7">
        <v>0</v>
      </c>
      <c r="C18" s="7">
        <v>0</v>
      </c>
    </row>
    <row r="19" spans="1:3" x14ac:dyDescent="0.3">
      <c r="A19" s="5" t="s">
        <v>18</v>
      </c>
      <c r="B19" s="7">
        <v>0</v>
      </c>
      <c r="C19" s="7">
        <v>0</v>
      </c>
    </row>
    <row r="20" spans="1:3" x14ac:dyDescent="0.3">
      <c r="A20" s="5" t="s">
        <v>19</v>
      </c>
      <c r="B20" s="7">
        <v>-4890000</v>
      </c>
      <c r="C20" s="7">
        <v>260000</v>
      </c>
    </row>
    <row r="21" spans="1:3" x14ac:dyDescent="0.3">
      <c r="A21" s="5" t="s">
        <v>20</v>
      </c>
      <c r="B21" s="7">
        <v>0</v>
      </c>
      <c r="C21" s="7">
        <v>0</v>
      </c>
    </row>
    <row r="22" spans="1:3" x14ac:dyDescent="0.3">
      <c r="A22" s="5" t="s">
        <v>21</v>
      </c>
      <c r="B22" s="7">
        <v>-11040524</v>
      </c>
      <c r="C22" s="7">
        <v>0</v>
      </c>
    </row>
    <row r="23" spans="1:3" x14ac:dyDescent="0.3">
      <c r="A23" s="5" t="s">
        <v>22</v>
      </c>
      <c r="B23" s="7">
        <v>0</v>
      </c>
      <c r="C23" s="7">
        <v>0</v>
      </c>
    </row>
    <row r="24" spans="1:3" x14ac:dyDescent="0.3">
      <c r="A24" s="5" t="s">
        <v>23</v>
      </c>
      <c r="B24" s="7">
        <v>0</v>
      </c>
      <c r="C24" s="7">
        <v>0</v>
      </c>
    </row>
    <row r="25" spans="1:3" x14ac:dyDescent="0.3">
      <c r="A25" s="5" t="s">
        <v>24</v>
      </c>
      <c r="B25" s="7">
        <v>0</v>
      </c>
      <c r="C25" s="7">
        <v>0</v>
      </c>
    </row>
    <row r="26" spans="1:3" x14ac:dyDescent="0.3">
      <c r="A26" s="5" t="s">
        <v>25</v>
      </c>
      <c r="B26" s="7">
        <v>0</v>
      </c>
      <c r="C26" s="7">
        <v>0</v>
      </c>
    </row>
    <row r="27" spans="1:3" x14ac:dyDescent="0.3">
      <c r="A27" s="5" t="s">
        <v>26</v>
      </c>
      <c r="B27" s="7">
        <v>-1000000</v>
      </c>
      <c r="C27" s="7">
        <v>0</v>
      </c>
    </row>
    <row r="28" spans="1:3" x14ac:dyDescent="0.3">
      <c r="A28" s="5" t="s">
        <v>27</v>
      </c>
      <c r="B28" s="7">
        <v>0</v>
      </c>
      <c r="C28" s="7">
        <v>0</v>
      </c>
    </row>
    <row r="29" spans="1:3" x14ac:dyDescent="0.3">
      <c r="A29" s="5" t="s">
        <v>28</v>
      </c>
      <c r="B29" s="7">
        <v>0</v>
      </c>
      <c r="C29" s="7">
        <v>0</v>
      </c>
    </row>
    <row r="30" spans="1:3" x14ac:dyDescent="0.3">
      <c r="A30" s="5" t="s">
        <v>29</v>
      </c>
      <c r="B30" s="7">
        <v>-65126000</v>
      </c>
      <c r="C30" s="7">
        <v>0</v>
      </c>
    </row>
    <row r="31" spans="1:3" x14ac:dyDescent="0.3">
      <c r="A31" s="5" t="s">
        <v>30</v>
      </c>
      <c r="B31" s="7">
        <v>0</v>
      </c>
      <c r="C31" s="7">
        <v>0</v>
      </c>
    </row>
    <row r="32" spans="1:3" x14ac:dyDescent="0.3">
      <c r="A32" s="5" t="s">
        <v>31</v>
      </c>
      <c r="B32" s="7">
        <v>0</v>
      </c>
      <c r="C32" s="7">
        <v>0</v>
      </c>
    </row>
    <row r="33" spans="1:3" x14ac:dyDescent="0.3">
      <c r="A33" s="5" t="s">
        <v>32</v>
      </c>
      <c r="B33" s="7">
        <v>0</v>
      </c>
      <c r="C33" s="7">
        <v>0</v>
      </c>
    </row>
    <row r="34" spans="1:3" x14ac:dyDescent="0.3">
      <c r="A34" s="5" t="s">
        <v>33</v>
      </c>
      <c r="B34" s="7">
        <v>140401.89000000001</v>
      </c>
      <c r="C34" s="7">
        <v>19947.18</v>
      </c>
    </row>
    <row r="35" spans="1:3" x14ac:dyDescent="0.3">
      <c r="A35" s="5" t="s">
        <v>34</v>
      </c>
      <c r="B35" s="7">
        <v>0</v>
      </c>
      <c r="C35" s="7">
        <v>0</v>
      </c>
    </row>
    <row r="36" spans="1:3" x14ac:dyDescent="0.3">
      <c r="A36" s="5" t="s">
        <v>35</v>
      </c>
      <c r="B36" s="7">
        <v>39500</v>
      </c>
      <c r="C36" s="7">
        <v>13500</v>
      </c>
    </row>
    <row r="37" spans="1:3" x14ac:dyDescent="0.3">
      <c r="A37" s="5" t="s">
        <v>36</v>
      </c>
      <c r="B37" s="7">
        <v>0</v>
      </c>
      <c r="C37" s="7">
        <v>0</v>
      </c>
    </row>
    <row r="38" spans="1:3" x14ac:dyDescent="0.3">
      <c r="A38" s="5" t="s">
        <v>37</v>
      </c>
      <c r="B38" s="7">
        <v>0</v>
      </c>
      <c r="C38" s="7">
        <v>0</v>
      </c>
    </row>
    <row r="39" spans="1:3" x14ac:dyDescent="0.3">
      <c r="A39" s="5" t="s">
        <v>38</v>
      </c>
      <c r="B39" s="7">
        <v>0</v>
      </c>
      <c r="C39" s="7">
        <v>0</v>
      </c>
    </row>
    <row r="40" spans="1:3" x14ac:dyDescent="0.3">
      <c r="A40" s="5" t="s">
        <v>39</v>
      </c>
      <c r="B40" s="7">
        <v>0</v>
      </c>
      <c r="C40" s="7">
        <v>0</v>
      </c>
    </row>
    <row r="41" spans="1:3" x14ac:dyDescent="0.3">
      <c r="A41" s="5" t="s">
        <v>40</v>
      </c>
      <c r="B41" s="7">
        <v>0</v>
      </c>
      <c r="C41" s="7">
        <v>0</v>
      </c>
    </row>
    <row r="42" spans="1:3" x14ac:dyDescent="0.3">
      <c r="A42" s="5" t="s">
        <v>41</v>
      </c>
      <c r="B42" s="7">
        <v>0</v>
      </c>
      <c r="C42" s="7">
        <v>0</v>
      </c>
    </row>
    <row r="43" spans="1:3" x14ac:dyDescent="0.3">
      <c r="A43" s="5" t="s">
        <v>42</v>
      </c>
      <c r="B43" s="7">
        <v>0</v>
      </c>
      <c r="C43" s="7">
        <v>0</v>
      </c>
    </row>
    <row r="44" spans="1:3" x14ac:dyDescent="0.3">
      <c r="A44" s="5" t="s">
        <v>24</v>
      </c>
      <c r="B44" s="7">
        <v>0</v>
      </c>
      <c r="C44" s="7">
        <v>0</v>
      </c>
    </row>
    <row r="45" spans="1:3" x14ac:dyDescent="0.3">
      <c r="A45" s="5" t="s">
        <v>21</v>
      </c>
      <c r="B45" s="7">
        <v>0</v>
      </c>
      <c r="C45" s="7">
        <v>0</v>
      </c>
    </row>
    <row r="46" spans="1:3" x14ac:dyDescent="0.3">
      <c r="A46" s="5" t="s">
        <v>43</v>
      </c>
      <c r="B46" s="7">
        <v>0</v>
      </c>
      <c r="C46" s="7">
        <v>0</v>
      </c>
    </row>
    <row r="47" spans="1:3" customFormat="1" ht="14.5" x14ac:dyDescent="0.35">
      <c r="A47" s="8"/>
      <c r="B47" s="9"/>
      <c r="C47" s="9"/>
    </row>
    <row r="48" spans="1:3" x14ac:dyDescent="0.3">
      <c r="A48" s="5" t="s">
        <v>44</v>
      </c>
      <c r="B48" s="7">
        <f>ROUND(SUBTOTAL(9, B6:B47), 5)</f>
        <v>-47355307.590000004</v>
      </c>
      <c r="C48" s="7">
        <f>ROUND(SUBTOTAL(9, C6:C47), 5)</f>
        <v>9203955.5600000005</v>
      </c>
    </row>
    <row r="49" spans="1:3" customFormat="1" ht="14.5" x14ac:dyDescent="0.35">
      <c r="A49" s="8"/>
      <c r="B49" s="9"/>
      <c r="C49" s="9"/>
    </row>
    <row r="50" spans="1:3" x14ac:dyDescent="0.3">
      <c r="A50" s="5" t="s">
        <v>45</v>
      </c>
      <c r="B50" s="7">
        <f>-(ROUND(-B5+-B48, 5))</f>
        <v>287488842.66000003</v>
      </c>
      <c r="C50" s="7">
        <f>-(ROUND(-C5+-C48, 5))</f>
        <v>108752406.48999999</v>
      </c>
    </row>
    <row r="51" spans="1:3" customFormat="1" ht="14.5" x14ac:dyDescent="0.35">
      <c r="A51" s="8"/>
      <c r="B51" s="9"/>
      <c r="C51" s="9"/>
    </row>
    <row r="52" spans="1:3" x14ac:dyDescent="0.3">
      <c r="A52" s="2" t="s">
        <v>2</v>
      </c>
    </row>
    <row r="53" spans="1:3" x14ac:dyDescent="0.3">
      <c r="A53" s="5" t="s">
        <v>46</v>
      </c>
    </row>
    <row r="54" spans="1:3" x14ac:dyDescent="0.3">
      <c r="A54" s="5" t="s">
        <v>47</v>
      </c>
    </row>
    <row r="55" spans="1:3" x14ac:dyDescent="0.3">
      <c r="A55" s="5" t="s">
        <v>48</v>
      </c>
      <c r="B55" s="7">
        <v>-136594950</v>
      </c>
      <c r="C55" s="7">
        <v>-79780000</v>
      </c>
    </row>
    <row r="56" spans="1:3" x14ac:dyDescent="0.3">
      <c r="A56" s="5" t="s">
        <v>49</v>
      </c>
      <c r="B56" s="7">
        <v>0</v>
      </c>
      <c r="C56" s="7">
        <v>0</v>
      </c>
    </row>
    <row r="57" spans="1:3" x14ac:dyDescent="0.3">
      <c r="A57" s="5" t="s">
        <v>50</v>
      </c>
      <c r="B57" s="7">
        <v>-15718999</v>
      </c>
      <c r="C57" s="7">
        <v>0</v>
      </c>
    </row>
    <row r="58" spans="1:3" x14ac:dyDescent="0.3">
      <c r="A58" s="5" t="s">
        <v>51</v>
      </c>
      <c r="B58" s="7">
        <v>-82121676.239999995</v>
      </c>
      <c r="C58" s="7">
        <v>-10130000</v>
      </c>
    </row>
    <row r="59" spans="1:3" x14ac:dyDescent="0.3">
      <c r="A59" s="5" t="s">
        <v>52</v>
      </c>
      <c r="B59" s="7">
        <v>-11973250</v>
      </c>
      <c r="C59" s="7">
        <v>-545000</v>
      </c>
    </row>
    <row r="60" spans="1:3" x14ac:dyDescent="0.3">
      <c r="A60" s="5" t="s">
        <v>53</v>
      </c>
      <c r="B60" s="7">
        <v>-2437150</v>
      </c>
      <c r="C60" s="7">
        <v>-804000</v>
      </c>
    </row>
    <row r="61" spans="1:3" x14ac:dyDescent="0.3">
      <c r="A61" s="5" t="s">
        <v>54</v>
      </c>
      <c r="B61" s="7">
        <v>-35000000</v>
      </c>
      <c r="C61" s="7">
        <v>-35000000</v>
      </c>
    </row>
    <row r="62" spans="1:3" customFormat="1" ht="14.5" x14ac:dyDescent="0.35">
      <c r="A62" s="8"/>
      <c r="B62" s="9"/>
      <c r="C62" s="9"/>
    </row>
    <row r="63" spans="1:3" x14ac:dyDescent="0.3">
      <c r="A63" s="5" t="s">
        <v>55</v>
      </c>
      <c r="B63" s="7">
        <f>ROUND(SUBTOTAL(9, B52:B62), 5)</f>
        <v>-283846025.24000001</v>
      </c>
      <c r="C63" s="7">
        <f>ROUND(SUBTOTAL(9, C52:C62), 5)</f>
        <v>-126259000</v>
      </c>
    </row>
    <row r="64" spans="1:3" customFormat="1" ht="14.5" x14ac:dyDescent="0.35">
      <c r="A64" s="8"/>
      <c r="B64" s="9"/>
      <c r="C64" s="9"/>
    </row>
    <row r="65" spans="1:3" x14ac:dyDescent="0.3">
      <c r="A65" s="2" t="s">
        <v>2</v>
      </c>
    </row>
    <row r="66" spans="1:3" x14ac:dyDescent="0.3">
      <c r="A66" s="5" t="s">
        <v>56</v>
      </c>
    </row>
    <row r="67" spans="1:3" x14ac:dyDescent="0.3">
      <c r="A67" s="5" t="s">
        <v>57</v>
      </c>
    </row>
    <row r="68" spans="1:3" x14ac:dyDescent="0.3">
      <c r="A68" s="5" t="s">
        <v>58</v>
      </c>
      <c r="B68" s="7">
        <v>0</v>
      </c>
      <c r="C68" s="7">
        <v>0</v>
      </c>
    </row>
    <row r="69" spans="1:3" x14ac:dyDescent="0.3">
      <c r="A69" s="5" t="s">
        <v>59</v>
      </c>
      <c r="B69" s="7">
        <v>0</v>
      </c>
      <c r="C69" s="7">
        <v>0</v>
      </c>
    </row>
    <row r="70" spans="1:3" x14ac:dyDescent="0.3">
      <c r="A70" s="5" t="s">
        <v>60</v>
      </c>
      <c r="B70" s="7">
        <v>0</v>
      </c>
      <c r="C70" s="7">
        <v>0</v>
      </c>
    </row>
    <row r="71" spans="1:3" x14ac:dyDescent="0.3">
      <c r="A71" s="5" t="s">
        <v>61</v>
      </c>
      <c r="B71" s="7">
        <v>0</v>
      </c>
      <c r="C71" s="7">
        <v>0</v>
      </c>
    </row>
    <row r="72" spans="1:3" x14ac:dyDescent="0.3">
      <c r="A72" s="5" t="s">
        <v>62</v>
      </c>
      <c r="B72" s="7">
        <v>0</v>
      </c>
      <c r="C72" s="7">
        <v>0</v>
      </c>
    </row>
    <row r="73" spans="1:3" x14ac:dyDescent="0.3">
      <c r="A73" s="5" t="s">
        <v>47</v>
      </c>
    </row>
    <row r="74" spans="1:3" x14ac:dyDescent="0.3">
      <c r="A74" s="5" t="s">
        <v>58</v>
      </c>
      <c r="B74" s="7">
        <v>0</v>
      </c>
      <c r="C74" s="7">
        <v>0</v>
      </c>
    </row>
    <row r="75" spans="1:3" x14ac:dyDescent="0.3">
      <c r="A75" s="5" t="s">
        <v>59</v>
      </c>
      <c r="B75" s="7">
        <v>0</v>
      </c>
      <c r="C75" s="7">
        <v>0</v>
      </c>
    </row>
    <row r="76" spans="1:3" x14ac:dyDescent="0.3">
      <c r="A76" s="5" t="s">
        <v>60</v>
      </c>
      <c r="B76" s="7">
        <v>0</v>
      </c>
      <c r="C76" s="7">
        <v>0</v>
      </c>
    </row>
    <row r="77" spans="1:3" x14ac:dyDescent="0.3">
      <c r="A77" s="5" t="s">
        <v>61</v>
      </c>
      <c r="B77" s="7">
        <v>0</v>
      </c>
      <c r="C77" s="7">
        <v>0</v>
      </c>
    </row>
    <row r="78" spans="1:3" x14ac:dyDescent="0.3">
      <c r="A78" s="5" t="s">
        <v>62</v>
      </c>
      <c r="B78" s="7">
        <v>0</v>
      </c>
      <c r="C78" s="7">
        <v>0</v>
      </c>
    </row>
    <row r="79" spans="1:3" customFormat="1" ht="14.5" x14ac:dyDescent="0.35">
      <c r="A79" s="8"/>
      <c r="B79" s="9"/>
      <c r="C79" s="9"/>
    </row>
    <row r="80" spans="1:3" x14ac:dyDescent="0.3">
      <c r="A80" s="5" t="s">
        <v>63</v>
      </c>
      <c r="B80" s="7">
        <f>ROUND(SUBTOTAL(9, B65:B79), 5)</f>
        <v>0</v>
      </c>
      <c r="C80" s="7">
        <f>ROUND(SUBTOTAL(9, C65:C79), 5)</f>
        <v>0</v>
      </c>
    </row>
    <row r="81" spans="1:3" customFormat="1" ht="14.5" x14ac:dyDescent="0.35">
      <c r="A81" s="8"/>
      <c r="B81" s="9"/>
      <c r="C81" s="9"/>
    </row>
    <row r="82" spans="1:3" ht="13.5" thickBot="1" x14ac:dyDescent="0.35">
      <c r="A82" s="5" t="s">
        <v>64</v>
      </c>
      <c r="B82" s="6">
        <f>-(ROUND(-B50+-B63+-B80, 5))</f>
        <v>3642817.42</v>
      </c>
      <c r="C82" s="6">
        <f>-(ROUND(-C50+-C63+-C80, 5))</f>
        <v>-17506593.510000002</v>
      </c>
    </row>
    <row r="83" spans="1:3" customFormat="1" ht="15" thickTop="1" x14ac:dyDescent="0.35">
      <c r="A83" s="8"/>
      <c r="B83" s="10"/>
      <c r="C83" s="10"/>
    </row>
    <row r="84" spans="1:3" x14ac:dyDescent="0.3">
      <c r="A84" s="2" t="s">
        <v>2</v>
      </c>
    </row>
    <row r="85" spans="1:3" x14ac:dyDescent="0.3">
      <c r="A85" s="2" t="s">
        <v>2</v>
      </c>
    </row>
    <row r="86" spans="1:3" x14ac:dyDescent="0.3">
      <c r="A86" s="2" t="s">
        <v>2</v>
      </c>
    </row>
    <row r="87" spans="1:3" x14ac:dyDescent="0.3">
      <c r="A87" s="5" t="s">
        <v>65</v>
      </c>
    </row>
    <row r="88" spans="1:3" x14ac:dyDescent="0.3">
      <c r="A88" s="5" t="s">
        <v>66</v>
      </c>
      <c r="B88" s="6">
        <v>60089506.659999996</v>
      </c>
      <c r="C88" s="6">
        <v>60089506.659999996</v>
      </c>
    </row>
    <row r="89" spans="1:3" x14ac:dyDescent="0.3">
      <c r="A89" s="5" t="s">
        <v>67</v>
      </c>
      <c r="B89" s="7">
        <v>-49212015.600000001</v>
      </c>
      <c r="C89" s="7">
        <v>-77596100.170000002</v>
      </c>
    </row>
    <row r="90" spans="1:3" customFormat="1" ht="14.5" x14ac:dyDescent="0.35">
      <c r="A90" s="8"/>
      <c r="B90" s="9"/>
      <c r="C90" s="9"/>
    </row>
    <row r="91" spans="1:3" ht="13.5" thickBot="1" x14ac:dyDescent="0.35">
      <c r="A91" s="5" t="s">
        <v>68</v>
      </c>
      <c r="B91" s="6">
        <f>ROUND(SUBTOTAL(9, B84:B90), 5)</f>
        <v>10877491.060000001</v>
      </c>
      <c r="C91" s="6">
        <f>ROUND(SUBTOTAL(9, C84:C90), 5)</f>
        <v>-17506593.510000002</v>
      </c>
    </row>
    <row r="92" spans="1:3" customFormat="1" ht="15.5" thickTop="1" thickBot="1" x14ac:dyDescent="0.4">
      <c r="A92" s="11"/>
      <c r="B92" s="12"/>
      <c r="C92" s="12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&amp;10ROYAN HOSPITAL
Statement of Cash Flow
For the twelve Months Ended December 31, 2024
&amp;L&amp;"Times New Roman"&amp;8
&amp;10
</oddHeader>
    <oddFooter>&amp;L&amp;10&amp;"Times New Roman"&amp;D at &amp;T&amp;R&amp;10&amp;"Times New Roman"Page: &amp;P&amp;C&amp;10&amp;"Times New Roman"Unaudited - For Internal Use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</vt:lpstr>
      <vt:lpstr>'Cash Flow'!Print_Titles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2026-10-01T15:15:27Z</dcterms:created>
  <dcterms:modified xsi:type="dcterms:W3CDTF">2026-10-01T15:15:44Z</dcterms:modified>
</cp:coreProperties>
</file>