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F78B353-96CD-4514-91B2-E3629D4335DF}" xr6:coauthVersionLast="47" xr6:coauthVersionMax="47" xr10:uidLastSave="{00000000-0000-0000-0000-000000000000}"/>
  <bookViews>
    <workbookView xWindow="-110" yWindow="-110" windowWidth="19420" windowHeight="10300" xr2:uid="{1321E619-8AC3-4E33-A372-C9B17EB890A5}"/>
  </bookViews>
  <sheets>
    <sheet name="GL Account Summary" sheetId="1" r:id="rId1"/>
  </sheets>
  <definedNames>
    <definedName name="_xlnm.Print_Titles" localSheetId="0">'GL Account Summary'!$1:$1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6" i="1" l="1"/>
  <c r="G126" i="1"/>
  <c r="F126" i="1"/>
  <c r="E126" i="1"/>
  <c r="D126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<sst xmlns="http://schemas.openxmlformats.org/spreadsheetml/2006/main" count="253" uniqueCount="251">
  <si>
    <t>Account
Number</t>
  </si>
  <si>
    <t>Account
Description</t>
  </si>
  <si>
    <t>Beginnin
g
Balance</t>
  </si>
  <si>
    <t>Debit
Change</t>
  </si>
  <si>
    <t>Credit
Change</t>
  </si>
  <si>
    <t>Net
Change</t>
  </si>
  <si>
    <t>Ending
Balance</t>
  </si>
  <si>
    <t/>
  </si>
  <si>
    <t>1010</t>
  </si>
  <si>
    <t>Cash on Hand</t>
  </si>
  <si>
    <t>1015</t>
  </si>
  <si>
    <t>Access Bank Plc 1</t>
  </si>
  <si>
    <t>1020</t>
  </si>
  <si>
    <t>Access Bank Plc 2</t>
  </si>
  <si>
    <t>1020B</t>
  </si>
  <si>
    <t>ACCESS BANK (THE ROYAN)</t>
  </si>
  <si>
    <t>1025</t>
  </si>
  <si>
    <t>Eco Bank PLC</t>
  </si>
  <si>
    <t>1025B</t>
  </si>
  <si>
    <t>ECO BANK( THE ROYAN)</t>
  </si>
  <si>
    <t>1030</t>
  </si>
  <si>
    <t>Zenith Bank Accout1</t>
  </si>
  <si>
    <t>1030B</t>
  </si>
  <si>
    <t>ZENITH BANK(THE ROYAN)</t>
  </si>
  <si>
    <t>1040</t>
  </si>
  <si>
    <t>Stanbic IBTC Bank PLC</t>
  </si>
  <si>
    <t>1040B</t>
  </si>
  <si>
    <t>Stanbic IBTC(THE ROYAN)</t>
  </si>
  <si>
    <t>1045</t>
  </si>
  <si>
    <t>Sterling Bank plc</t>
  </si>
  <si>
    <t>1045B</t>
  </si>
  <si>
    <t>STERLING BANK(THE ROYAN)</t>
  </si>
  <si>
    <t>1050</t>
  </si>
  <si>
    <t>Keystone Bank Accont 1</t>
  </si>
  <si>
    <t>1060</t>
  </si>
  <si>
    <t>Polaris Bank Ltd</t>
  </si>
  <si>
    <t>1060B</t>
  </si>
  <si>
    <t>Polaris Bank Ltd(THE ROYAN)</t>
  </si>
  <si>
    <t>1070</t>
  </si>
  <si>
    <t>Keystone Bank ACCOUNT 2</t>
  </si>
  <si>
    <t>1080</t>
  </si>
  <si>
    <t>Access/Diamond Bank Plc</t>
  </si>
  <si>
    <t>1090</t>
  </si>
  <si>
    <t>Fidelity Bank Plc</t>
  </si>
  <si>
    <t>1090B</t>
  </si>
  <si>
    <t>Fidelity Bank  Fixed Deposit</t>
  </si>
  <si>
    <t>1095</t>
  </si>
  <si>
    <t>United Bank for Africa</t>
  </si>
  <si>
    <t>1095B</t>
  </si>
  <si>
    <t>UBA PLC (THE ROYAN)</t>
  </si>
  <si>
    <t>1096</t>
  </si>
  <si>
    <t>Suspense A/C</t>
  </si>
  <si>
    <t>1100</t>
  </si>
  <si>
    <t>Accounts Receivable</t>
  </si>
  <si>
    <t>1445A</t>
  </si>
  <si>
    <t>Scancare Current A/C</t>
  </si>
  <si>
    <t>1450</t>
  </si>
  <si>
    <t>Loan Recievable</t>
  </si>
  <si>
    <t>1455A</t>
  </si>
  <si>
    <t>MD Current Account ZENITH 1</t>
  </si>
  <si>
    <t>1460A</t>
  </si>
  <si>
    <t>MD Current Account KEYSTONE1</t>
  </si>
  <si>
    <t>1465A</t>
  </si>
  <si>
    <t>MD Current Account KEYSTONE 2</t>
  </si>
  <si>
    <t>1470A</t>
  </si>
  <si>
    <t>MD Current Account ACCESS 1</t>
  </si>
  <si>
    <t>1480A</t>
  </si>
  <si>
    <t>MD Current Account ACCESS 2</t>
  </si>
  <si>
    <t>1485A</t>
  </si>
  <si>
    <t>MD Current Account ECO BANK</t>
  </si>
  <si>
    <t>1490A</t>
  </si>
  <si>
    <t>MD Current Account IBTC BANK</t>
  </si>
  <si>
    <t>1495A</t>
  </si>
  <si>
    <t>MD'S Current Account Syke Bank</t>
  </si>
  <si>
    <t>1499A</t>
  </si>
  <si>
    <t>MD'S Current Account Fidelity</t>
  </si>
  <si>
    <t>1500</t>
  </si>
  <si>
    <t>Land and Building</t>
  </si>
  <si>
    <t>1600</t>
  </si>
  <si>
    <t>Motor Vehicles</t>
  </si>
  <si>
    <t>1650</t>
  </si>
  <si>
    <t>Plant and Machinery</t>
  </si>
  <si>
    <t>1700</t>
  </si>
  <si>
    <t>Hospital Equipment</t>
  </si>
  <si>
    <t>1750</t>
  </si>
  <si>
    <t>Office Equipment</t>
  </si>
  <si>
    <t>1800</t>
  </si>
  <si>
    <t>Hospital Furnitures</t>
  </si>
  <si>
    <t>1850</t>
  </si>
  <si>
    <t>INVESTMENT</t>
  </si>
  <si>
    <t>1900</t>
  </si>
  <si>
    <t>Accumulated Dep Land&amp; Building</t>
  </si>
  <si>
    <t>1910</t>
  </si>
  <si>
    <t>Accumulated Dep.Motor Vehicle</t>
  </si>
  <si>
    <t>1920</t>
  </si>
  <si>
    <t>Accumulated DepPlant&amp;Machinery</t>
  </si>
  <si>
    <t>1930</t>
  </si>
  <si>
    <t>Accumulated Dep.Hospital Equip</t>
  </si>
  <si>
    <t>1940</t>
  </si>
  <si>
    <t>Accumulated Dep.Office Equip.</t>
  </si>
  <si>
    <t>1950</t>
  </si>
  <si>
    <t>Accumulated Dep.Hospital Fur.</t>
  </si>
  <si>
    <t>2005</t>
  </si>
  <si>
    <t>Accounts Payable/Salaries</t>
  </si>
  <si>
    <t>2310</t>
  </si>
  <si>
    <t>Land Beneficiary Payable A/C</t>
  </si>
  <si>
    <t>2320</t>
  </si>
  <si>
    <t>Deductions Payable</t>
  </si>
  <si>
    <t>2340</t>
  </si>
  <si>
    <t>Withholding tax</t>
  </si>
  <si>
    <t>2360</t>
  </si>
  <si>
    <t>Pensions Contributions</t>
  </si>
  <si>
    <t>2450</t>
  </si>
  <si>
    <t>M.D'S Currents Account IBTC</t>
  </si>
  <si>
    <t>2650</t>
  </si>
  <si>
    <t>MD Current Account ZENITH 2</t>
  </si>
  <si>
    <t>3910</t>
  </si>
  <si>
    <t>Retained Earnings</t>
  </si>
  <si>
    <t>3920</t>
  </si>
  <si>
    <t>Paid-in Capital</t>
  </si>
  <si>
    <t>3940</t>
  </si>
  <si>
    <t>Capital's in Bank</t>
  </si>
  <si>
    <t>4000</t>
  </si>
  <si>
    <t>Immunization</t>
  </si>
  <si>
    <t>4050</t>
  </si>
  <si>
    <t>Health Maintenances Organizatn</t>
  </si>
  <si>
    <t>4100</t>
  </si>
  <si>
    <t>Main Hospital</t>
  </si>
  <si>
    <t>4200</t>
  </si>
  <si>
    <t>Laboratory</t>
  </si>
  <si>
    <t>4300</t>
  </si>
  <si>
    <t>Other Income</t>
  </si>
  <si>
    <t>5000</t>
  </si>
  <si>
    <t>Direct cost of Drugs</t>
  </si>
  <si>
    <t>5400</t>
  </si>
  <si>
    <t>Direct Cost of Vaccines</t>
  </si>
  <si>
    <t>5425</t>
  </si>
  <si>
    <t>Cost of Lab Kits &amp; Reagent</t>
  </si>
  <si>
    <t>5450</t>
  </si>
  <si>
    <t>Insurance</t>
  </si>
  <si>
    <t>5500</t>
  </si>
  <si>
    <t>Land Use Charges</t>
  </si>
  <si>
    <t>5550</t>
  </si>
  <si>
    <t>LASSAA chage</t>
  </si>
  <si>
    <t>5600</t>
  </si>
  <si>
    <t>Business Premises Levy</t>
  </si>
  <si>
    <t>5700</t>
  </si>
  <si>
    <t>Rents Expenses</t>
  </si>
  <si>
    <t>5900</t>
  </si>
  <si>
    <t>Fuel and Other Lubrication Exp</t>
  </si>
  <si>
    <t>5950</t>
  </si>
  <si>
    <t>Tax Liabilities and Penalty</t>
  </si>
  <si>
    <t>6000</t>
  </si>
  <si>
    <t>Withholding Tax</t>
  </si>
  <si>
    <t>6025</t>
  </si>
  <si>
    <t>Withholding Tax-Director</t>
  </si>
  <si>
    <t>6050</t>
  </si>
  <si>
    <t>Employee Benefit Programs Exp</t>
  </si>
  <si>
    <t>6100</t>
  </si>
  <si>
    <t>Electricity Expense</t>
  </si>
  <si>
    <t>6150</t>
  </si>
  <si>
    <t>PAYE  Deductions</t>
  </si>
  <si>
    <t>6175</t>
  </si>
  <si>
    <t>Season Gifts and Souvenir</t>
  </si>
  <si>
    <t>6200</t>
  </si>
  <si>
    <t>Salaries Expense</t>
  </si>
  <si>
    <t>6210</t>
  </si>
  <si>
    <t>Cleaners' Stipends</t>
  </si>
  <si>
    <t>6225</t>
  </si>
  <si>
    <t>Hospital Registration Fees</t>
  </si>
  <si>
    <t>6250</t>
  </si>
  <si>
    <t>Diesel Expenses</t>
  </si>
  <si>
    <t>6275</t>
  </si>
  <si>
    <t>Staff Welfare Expenses</t>
  </si>
  <si>
    <t>6300</t>
  </si>
  <si>
    <t>Other Government  Levies</t>
  </si>
  <si>
    <t>6325</t>
  </si>
  <si>
    <t>Computers&amp;Internet Maintenance</t>
  </si>
  <si>
    <t>6350</t>
  </si>
  <si>
    <t>Maintenance &amp; Repairs Expense</t>
  </si>
  <si>
    <t>6375</t>
  </si>
  <si>
    <t>Radiological Expenses</t>
  </si>
  <si>
    <t>6400</t>
  </si>
  <si>
    <t>OUTSIDE Test Exp</t>
  </si>
  <si>
    <t>6410</t>
  </si>
  <si>
    <t>HISTOLOGY</t>
  </si>
  <si>
    <t>6425</t>
  </si>
  <si>
    <t>Motor Running Expenses</t>
  </si>
  <si>
    <t>6450</t>
  </si>
  <si>
    <t>Printing &amp;  stationery Expense</t>
  </si>
  <si>
    <t>6475</t>
  </si>
  <si>
    <t>Administrative  Expenses</t>
  </si>
  <si>
    <t>6500</t>
  </si>
  <si>
    <t>Telephone Expense</t>
  </si>
  <si>
    <t>6525</t>
  </si>
  <si>
    <t>Advertising Expenses</t>
  </si>
  <si>
    <t>6550</t>
  </si>
  <si>
    <t>Hospital Consumables  Expense</t>
  </si>
  <si>
    <t>6575</t>
  </si>
  <si>
    <t>Cash Refunded</t>
  </si>
  <si>
    <t>6600</t>
  </si>
  <si>
    <t>Staff Loan</t>
  </si>
  <si>
    <t>6625</t>
  </si>
  <si>
    <t>Public Relation's Expense</t>
  </si>
  <si>
    <t>6650</t>
  </si>
  <si>
    <t>Cost of Hospital Supplies</t>
  </si>
  <si>
    <t>6675</t>
  </si>
  <si>
    <t>Hospital Materials Expenses</t>
  </si>
  <si>
    <t>6800</t>
  </si>
  <si>
    <t>Catering Expense</t>
  </si>
  <si>
    <t>6825</t>
  </si>
  <si>
    <t>Capital Expense</t>
  </si>
  <si>
    <t>6850</t>
  </si>
  <si>
    <t>Refuse Disposal Expense</t>
  </si>
  <si>
    <t>6875</t>
  </si>
  <si>
    <t>Staff Training and Development</t>
  </si>
  <si>
    <t>6900</t>
  </si>
  <si>
    <t>Transport Expenses</t>
  </si>
  <si>
    <t>6925</t>
  </si>
  <si>
    <t>Professional Fees</t>
  </si>
  <si>
    <t>6950</t>
  </si>
  <si>
    <t>Consultancy fees</t>
  </si>
  <si>
    <t>6975</t>
  </si>
  <si>
    <t>Doctors' Stipends</t>
  </si>
  <si>
    <t>7000</t>
  </si>
  <si>
    <t>Employees' Gratuities</t>
  </si>
  <si>
    <t>7010</t>
  </si>
  <si>
    <t>Bad Debt( Loan Written off)</t>
  </si>
  <si>
    <t>7025</t>
  </si>
  <si>
    <t>Securities' Expenses</t>
  </si>
  <si>
    <t>7050</t>
  </si>
  <si>
    <t>Generators' Expenses</t>
  </si>
  <si>
    <t>7100</t>
  </si>
  <si>
    <t>Medical Director's Expenses</t>
  </si>
  <si>
    <t>7150</t>
  </si>
  <si>
    <t>Medical Director' Diesel Exp</t>
  </si>
  <si>
    <t>7200</t>
  </si>
  <si>
    <t>Bank Charges</t>
  </si>
  <si>
    <t>7250</t>
  </si>
  <si>
    <t>Depreciation Land and Building</t>
  </si>
  <si>
    <t>7300</t>
  </si>
  <si>
    <t>Depreciation Motor Vehicle</t>
  </si>
  <si>
    <t>7350</t>
  </si>
  <si>
    <t>Depreciation. Plant &amp;Machinery</t>
  </si>
  <si>
    <t>7400</t>
  </si>
  <si>
    <t>Depreciation. Hospital Equip</t>
  </si>
  <si>
    <t>7450</t>
  </si>
  <si>
    <t>Depreciation. Office Equipment</t>
  </si>
  <si>
    <t>7500</t>
  </si>
  <si>
    <t>Depreciation Hospital Furnitur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</si>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</sst>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&quot;$&quot;* #,##0.00;\(&quot;$&quot;* #,##0.00\)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164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2278-CFC5-4F5C-BD8B-63BD6D212113}">
  <dimension ref="A1:G127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13.6328125" style="1" customWidth="1"/>
    <col min="2" max="2" width="20.6328125" style="1" customWidth="1"/>
    <col min="3" max="6" width="11.6328125" style="1" customWidth="1"/>
    <col min="7" max="7" width="12.6328125" style="1" customWidth="1"/>
    <col min="8" max="16384" width="8.7265625" style="1"/>
  </cols>
  <sheetData>
    <row r="1" spans="1:7" s="3" customFormat="1" ht="39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5" t="s">
        <v>7</v>
      </c>
    </row>
    <row r="3" spans="1:7" x14ac:dyDescent="0.3">
      <c r="A3" s="6" t="s">
        <v>8</v>
      </c>
      <c r="B3" s="6" t="s">
        <v>9</v>
      </c>
      <c r="C3" s="7">
        <f>G3-F3</f>
        <v>0</v>
      </c>
      <c r="D3" s="8">
        <v>1409618235.8299999</v>
      </c>
      <c r="E3" s="8">
        <v>-1410689287.27</v>
      </c>
      <c r="F3" s="8">
        <v>-1071051.44</v>
      </c>
      <c r="G3" s="8">
        <v>-1071051.44</v>
      </c>
    </row>
    <row r="4" spans="1:7" x14ac:dyDescent="0.3">
      <c r="A4" s="6" t="s">
        <v>10</v>
      </c>
      <c r="B4" s="6" t="s">
        <v>11</v>
      </c>
      <c r="C4" s="7">
        <f>G4-F4</f>
        <v>0</v>
      </c>
      <c r="D4" s="7">
        <v>71615843.379999995</v>
      </c>
      <c r="E4" s="7">
        <v>-71591407.620000005</v>
      </c>
      <c r="F4" s="7">
        <v>24435.759999999998</v>
      </c>
      <c r="G4" s="7">
        <v>24435.759999999998</v>
      </c>
    </row>
    <row r="5" spans="1:7" x14ac:dyDescent="0.3">
      <c r="A5" s="6" t="s">
        <v>12</v>
      </c>
      <c r="B5" s="6" t="s">
        <v>13</v>
      </c>
      <c r="C5" s="7">
        <f>G5-F5</f>
        <v>0</v>
      </c>
      <c r="D5" s="7">
        <v>1699438955.22</v>
      </c>
      <c r="E5" s="7">
        <v>-1699363392.96</v>
      </c>
      <c r="F5" s="7">
        <v>75562.259999999995</v>
      </c>
      <c r="G5" s="7">
        <v>75562.259999999995</v>
      </c>
    </row>
    <row r="6" spans="1:7" x14ac:dyDescent="0.3">
      <c r="A6" s="6" t="s">
        <v>14</v>
      </c>
      <c r="B6" s="6" t="s">
        <v>15</v>
      </c>
      <c r="C6" s="7">
        <f>G6-F6</f>
        <v>0</v>
      </c>
      <c r="D6" s="7">
        <v>292144527.88</v>
      </c>
      <c r="E6" s="7">
        <v>-286988019.43000001</v>
      </c>
      <c r="F6" s="7">
        <v>5156508.45</v>
      </c>
      <c r="G6" s="7">
        <v>5156508.45</v>
      </c>
    </row>
    <row r="7" spans="1:7" x14ac:dyDescent="0.3">
      <c r="A7" s="6" t="s">
        <v>16</v>
      </c>
      <c r="B7" s="6" t="s">
        <v>17</v>
      </c>
      <c r="C7" s="7">
        <f>G7-F7</f>
        <v>0</v>
      </c>
      <c r="D7" s="7">
        <v>97403367.129999995</v>
      </c>
      <c r="E7" s="7">
        <v>-97402586.890000001</v>
      </c>
      <c r="F7" s="7">
        <v>780.24</v>
      </c>
      <c r="G7" s="7">
        <v>780.24</v>
      </c>
    </row>
    <row r="8" spans="1:7" x14ac:dyDescent="0.3">
      <c r="A8" s="6" t="s">
        <v>18</v>
      </c>
      <c r="B8" s="6" t="s">
        <v>19</v>
      </c>
      <c r="C8" s="7">
        <f>G8-F8</f>
        <v>0</v>
      </c>
      <c r="D8" s="7">
        <v>72180564.069999993</v>
      </c>
      <c r="E8" s="7">
        <v>-66951569.93</v>
      </c>
      <c r="F8" s="7">
        <v>5228994.1399999997</v>
      </c>
      <c r="G8" s="7">
        <v>5228994.1399999997</v>
      </c>
    </row>
    <row r="9" spans="1:7" x14ac:dyDescent="0.3">
      <c r="A9" s="6" t="s">
        <v>20</v>
      </c>
      <c r="B9" s="6" t="s">
        <v>21</v>
      </c>
      <c r="C9" s="7">
        <f>G9-F9</f>
        <v>0</v>
      </c>
      <c r="D9" s="7">
        <v>148150339.72</v>
      </c>
      <c r="E9" s="7">
        <v>-147674866.94</v>
      </c>
      <c r="F9" s="7">
        <v>475472.78</v>
      </c>
      <c r="G9" s="7">
        <v>475472.78</v>
      </c>
    </row>
    <row r="10" spans="1:7" x14ac:dyDescent="0.3">
      <c r="A10" s="6" t="s">
        <v>22</v>
      </c>
      <c r="B10" s="6" t="s">
        <v>23</v>
      </c>
      <c r="C10" s="7">
        <f>G10-F10</f>
        <v>0</v>
      </c>
      <c r="D10" s="7">
        <v>2084100</v>
      </c>
      <c r="E10" s="7">
        <v>-514187</v>
      </c>
      <c r="F10" s="7">
        <v>1569913</v>
      </c>
      <c r="G10" s="7">
        <v>1569913</v>
      </c>
    </row>
    <row r="11" spans="1:7" x14ac:dyDescent="0.3">
      <c r="A11" s="6" t="s">
        <v>24</v>
      </c>
      <c r="B11" s="6" t="s">
        <v>25</v>
      </c>
      <c r="C11" s="7">
        <f>G11-F11</f>
        <v>0</v>
      </c>
      <c r="D11" s="7">
        <v>200519480.91999999</v>
      </c>
      <c r="E11" s="7">
        <v>-198629916.56</v>
      </c>
      <c r="F11" s="7">
        <v>1889564.36</v>
      </c>
      <c r="G11" s="7">
        <v>1889564.36</v>
      </c>
    </row>
    <row r="12" spans="1:7" x14ac:dyDescent="0.3">
      <c r="A12" s="6" t="s">
        <v>26</v>
      </c>
      <c r="B12" s="6" t="s">
        <v>27</v>
      </c>
      <c r="C12" s="7">
        <f>G12-F12</f>
        <v>0</v>
      </c>
      <c r="D12" s="7">
        <v>200000</v>
      </c>
      <c r="E12" s="7">
        <v>0</v>
      </c>
      <c r="F12" s="7">
        <v>200000</v>
      </c>
      <c r="G12" s="7">
        <v>200000</v>
      </c>
    </row>
    <row r="13" spans="1:7" x14ac:dyDescent="0.3">
      <c r="A13" s="6" t="s">
        <v>28</v>
      </c>
      <c r="B13" s="6" t="s">
        <v>29</v>
      </c>
      <c r="C13" s="7">
        <f>G13-F13</f>
        <v>0</v>
      </c>
      <c r="D13" s="7">
        <v>156598511.84</v>
      </c>
      <c r="E13" s="7">
        <v>-156394716.19</v>
      </c>
      <c r="F13" s="7">
        <v>203795.65</v>
      </c>
      <c r="G13" s="7">
        <v>203795.65</v>
      </c>
    </row>
    <row r="14" spans="1:7" x14ac:dyDescent="0.3">
      <c r="A14" s="6" t="s">
        <v>30</v>
      </c>
      <c r="B14" s="6" t="s">
        <v>31</v>
      </c>
      <c r="C14" s="7">
        <f>G14-F14</f>
        <v>0</v>
      </c>
      <c r="D14" s="7">
        <v>38501950.909999996</v>
      </c>
      <c r="E14" s="7">
        <v>-34949374.409999996</v>
      </c>
      <c r="F14" s="7">
        <v>3552576.5</v>
      </c>
      <c r="G14" s="7">
        <v>3552576.5</v>
      </c>
    </row>
    <row r="15" spans="1:7" x14ac:dyDescent="0.3">
      <c r="A15" s="6" t="s">
        <v>32</v>
      </c>
      <c r="B15" s="6" t="s">
        <v>33</v>
      </c>
      <c r="C15" s="7">
        <f>G15-F15</f>
        <v>0</v>
      </c>
      <c r="D15" s="7">
        <v>13192165.199999999</v>
      </c>
      <c r="E15" s="7">
        <v>-13192165.199999999</v>
      </c>
      <c r="F15" s="7">
        <v>0</v>
      </c>
      <c r="G15" s="7">
        <v>0</v>
      </c>
    </row>
    <row r="16" spans="1:7" x14ac:dyDescent="0.3">
      <c r="A16" s="6" t="s">
        <v>34</v>
      </c>
      <c r="B16" s="6" t="s">
        <v>35</v>
      </c>
      <c r="C16" s="7">
        <f>G16-F16</f>
        <v>0</v>
      </c>
      <c r="D16" s="7">
        <v>6531903.4000000004</v>
      </c>
      <c r="E16" s="7">
        <v>-6530452.6399999997</v>
      </c>
      <c r="F16" s="7">
        <v>1450.76</v>
      </c>
      <c r="G16" s="7">
        <v>1450.76</v>
      </c>
    </row>
    <row r="17" spans="1:7" x14ac:dyDescent="0.3">
      <c r="A17" s="6" t="s">
        <v>36</v>
      </c>
      <c r="B17" s="6" t="s">
        <v>37</v>
      </c>
      <c r="C17" s="7">
        <f>G17-F17</f>
        <v>0</v>
      </c>
      <c r="D17" s="7">
        <v>98000</v>
      </c>
      <c r="E17" s="7">
        <v>0</v>
      </c>
      <c r="F17" s="7">
        <v>98000</v>
      </c>
      <c r="G17" s="7">
        <v>98000</v>
      </c>
    </row>
    <row r="18" spans="1:7" x14ac:dyDescent="0.3">
      <c r="A18" s="6" t="s">
        <v>38</v>
      </c>
      <c r="B18" s="6" t="s">
        <v>39</v>
      </c>
      <c r="C18" s="7">
        <f>G18-F18</f>
        <v>0</v>
      </c>
      <c r="D18" s="7">
        <v>16130515.1</v>
      </c>
      <c r="E18" s="7">
        <v>-16128767.74</v>
      </c>
      <c r="F18" s="7">
        <v>1747.36</v>
      </c>
      <c r="G18" s="7">
        <v>1747.36</v>
      </c>
    </row>
    <row r="19" spans="1:7" x14ac:dyDescent="0.3">
      <c r="A19" s="6" t="s">
        <v>40</v>
      </c>
      <c r="B19" s="6" t="s">
        <v>41</v>
      </c>
      <c r="C19" s="7">
        <f>G19-F19</f>
        <v>0</v>
      </c>
      <c r="D19" s="7">
        <v>119400</v>
      </c>
      <c r="E19" s="7">
        <v>-16012.5</v>
      </c>
      <c r="F19" s="7">
        <v>103387.5</v>
      </c>
      <c r="G19" s="7">
        <v>103387.5</v>
      </c>
    </row>
    <row r="20" spans="1:7" x14ac:dyDescent="0.3">
      <c r="A20" s="6" t="s">
        <v>42</v>
      </c>
      <c r="B20" s="6" t="s">
        <v>43</v>
      </c>
      <c r="C20" s="7">
        <f>G20-F20</f>
        <v>0</v>
      </c>
      <c r="D20" s="7">
        <v>1185375479.9200001</v>
      </c>
      <c r="E20" s="7">
        <v>-1147906772.1700001</v>
      </c>
      <c r="F20" s="7">
        <v>37468707.75</v>
      </c>
      <c r="G20" s="7">
        <v>37468707.75</v>
      </c>
    </row>
    <row r="21" spans="1:7" x14ac:dyDescent="0.3">
      <c r="A21" s="6" t="s">
        <v>44</v>
      </c>
      <c r="B21" s="6" t="s">
        <v>45</v>
      </c>
      <c r="C21" s="7">
        <f>G21-F21</f>
        <v>0</v>
      </c>
      <c r="D21" s="7">
        <v>10000000</v>
      </c>
      <c r="E21" s="7">
        <v>-10000000</v>
      </c>
      <c r="F21" s="7">
        <v>0</v>
      </c>
      <c r="G21" s="7">
        <v>0</v>
      </c>
    </row>
    <row r="22" spans="1:7" x14ac:dyDescent="0.3">
      <c r="A22" s="6" t="s">
        <v>46</v>
      </c>
      <c r="B22" s="6" t="s">
        <v>47</v>
      </c>
      <c r="C22" s="7">
        <f>G22-F22</f>
        <v>0</v>
      </c>
      <c r="D22" s="7">
        <v>42617106.939999998</v>
      </c>
      <c r="E22" s="7">
        <v>-38843445.350000001</v>
      </c>
      <c r="F22" s="7">
        <v>3773661.59</v>
      </c>
      <c r="G22" s="7">
        <v>3773661.59</v>
      </c>
    </row>
    <row r="23" spans="1:7" x14ac:dyDescent="0.3">
      <c r="A23" s="6" t="s">
        <v>48</v>
      </c>
      <c r="B23" s="6" t="s">
        <v>49</v>
      </c>
      <c r="C23" s="7">
        <f>G23-F23</f>
        <v>0</v>
      </c>
      <c r="D23" s="7">
        <v>1336000</v>
      </c>
      <c r="E23" s="7">
        <v>0</v>
      </c>
      <c r="F23" s="7">
        <v>1336000</v>
      </c>
      <c r="G23" s="7">
        <v>1336000</v>
      </c>
    </row>
    <row r="24" spans="1:7" x14ac:dyDescent="0.3">
      <c r="A24" s="6" t="s">
        <v>50</v>
      </c>
      <c r="B24" s="6" t="s">
        <v>51</v>
      </c>
      <c r="C24" s="7">
        <f>G24-F24</f>
        <v>0</v>
      </c>
      <c r="D24" s="7">
        <v>73000000</v>
      </c>
      <c r="E24" s="7">
        <v>-73000000</v>
      </c>
      <c r="F24" s="7">
        <v>0</v>
      </c>
      <c r="G24" s="7">
        <v>0</v>
      </c>
    </row>
    <row r="25" spans="1:7" x14ac:dyDescent="0.3">
      <c r="A25" s="6" t="s">
        <v>52</v>
      </c>
      <c r="B25" s="6" t="s">
        <v>53</v>
      </c>
      <c r="C25" s="7">
        <f>G25-F25</f>
        <v>0</v>
      </c>
      <c r="D25" s="7">
        <v>2179323718.1300001</v>
      </c>
      <c r="E25" s="7">
        <v>-2179323718.1300001</v>
      </c>
      <c r="F25" s="7">
        <v>0</v>
      </c>
      <c r="G25" s="7">
        <v>0</v>
      </c>
    </row>
    <row r="26" spans="1:7" x14ac:dyDescent="0.3">
      <c r="A26" s="6" t="s">
        <v>54</v>
      </c>
      <c r="B26" s="6" t="s">
        <v>55</v>
      </c>
      <c r="C26" s="7">
        <f>G26-F26</f>
        <v>0</v>
      </c>
      <c r="D26" s="7">
        <v>31961439.710000001</v>
      </c>
      <c r="E26" s="7">
        <v>-4550000</v>
      </c>
      <c r="F26" s="7">
        <v>27411439.710000001</v>
      </c>
      <c r="G26" s="7">
        <v>27411439.710000001</v>
      </c>
    </row>
    <row r="27" spans="1:7" x14ac:dyDescent="0.3">
      <c r="A27" s="6" t="s">
        <v>56</v>
      </c>
      <c r="B27" s="6" t="s">
        <v>57</v>
      </c>
      <c r="C27" s="7">
        <f>G27-F27</f>
        <v>0</v>
      </c>
      <c r="D27" s="7">
        <v>27970000</v>
      </c>
      <c r="E27" s="7">
        <v>-22250000</v>
      </c>
      <c r="F27" s="7">
        <v>5720000</v>
      </c>
      <c r="G27" s="7">
        <v>5720000</v>
      </c>
    </row>
    <row r="28" spans="1:7" x14ac:dyDescent="0.3">
      <c r="A28" s="6" t="s">
        <v>58</v>
      </c>
      <c r="B28" s="6" t="s">
        <v>59</v>
      </c>
      <c r="C28" s="7">
        <f>G28-F28</f>
        <v>0</v>
      </c>
      <c r="D28" s="7">
        <v>30503270.82</v>
      </c>
      <c r="E28" s="7">
        <v>-1500000</v>
      </c>
      <c r="F28" s="7">
        <v>29003270.82</v>
      </c>
      <c r="G28" s="7">
        <v>29003270.82</v>
      </c>
    </row>
    <row r="29" spans="1:7" x14ac:dyDescent="0.3">
      <c r="A29" s="6" t="s">
        <v>60</v>
      </c>
      <c r="B29" s="6" t="s">
        <v>61</v>
      </c>
      <c r="C29" s="7">
        <f>G29-F29</f>
        <v>0</v>
      </c>
      <c r="D29" s="7">
        <v>3001335</v>
      </c>
      <c r="E29" s="7">
        <v>0</v>
      </c>
      <c r="F29" s="7">
        <v>3001335</v>
      </c>
      <c r="G29" s="7">
        <v>3001335</v>
      </c>
    </row>
    <row r="30" spans="1:7" x14ac:dyDescent="0.3">
      <c r="A30" s="6" t="s">
        <v>62</v>
      </c>
      <c r="B30" s="6" t="s">
        <v>63</v>
      </c>
      <c r="C30" s="7">
        <f>G30-F30</f>
        <v>0</v>
      </c>
      <c r="D30" s="7">
        <v>4476900</v>
      </c>
      <c r="E30" s="7">
        <v>-400000</v>
      </c>
      <c r="F30" s="7">
        <v>4076900</v>
      </c>
      <c r="G30" s="7">
        <v>4076900</v>
      </c>
    </row>
    <row r="31" spans="1:7" x14ac:dyDescent="0.3">
      <c r="A31" s="6" t="s">
        <v>64</v>
      </c>
      <c r="B31" s="6" t="s">
        <v>65</v>
      </c>
      <c r="C31" s="7">
        <f>G31-F31</f>
        <v>0</v>
      </c>
      <c r="D31" s="7">
        <v>3298042.4</v>
      </c>
      <c r="E31" s="7">
        <v>0</v>
      </c>
      <c r="F31" s="7">
        <v>3298042.4</v>
      </c>
      <c r="G31" s="7">
        <v>3298042.4</v>
      </c>
    </row>
    <row r="32" spans="1:7" x14ac:dyDescent="0.3">
      <c r="A32" s="6" t="s">
        <v>66</v>
      </c>
      <c r="B32" s="6" t="s">
        <v>67</v>
      </c>
      <c r="C32" s="7">
        <f>G32-F32</f>
        <v>0</v>
      </c>
      <c r="D32" s="7">
        <v>7904000</v>
      </c>
      <c r="E32" s="7">
        <v>-1320000</v>
      </c>
      <c r="F32" s="7">
        <v>6584000</v>
      </c>
      <c r="G32" s="7">
        <v>6584000</v>
      </c>
    </row>
    <row r="33" spans="1:7" x14ac:dyDescent="0.3">
      <c r="A33" s="6" t="s">
        <v>68</v>
      </c>
      <c r="B33" s="6" t="s">
        <v>69</v>
      </c>
      <c r="C33" s="7">
        <f>G33-F33</f>
        <v>0</v>
      </c>
      <c r="D33" s="7">
        <v>7273157.5</v>
      </c>
      <c r="E33" s="7">
        <v>-189000</v>
      </c>
      <c r="F33" s="7">
        <v>7084157.5</v>
      </c>
      <c r="G33" s="7">
        <v>7084157.5</v>
      </c>
    </row>
    <row r="34" spans="1:7" x14ac:dyDescent="0.3">
      <c r="A34" s="6" t="s">
        <v>70</v>
      </c>
      <c r="B34" s="6" t="s">
        <v>71</v>
      </c>
      <c r="C34" s="7">
        <f>G34-F34</f>
        <v>0</v>
      </c>
      <c r="D34" s="7">
        <v>180000</v>
      </c>
      <c r="E34" s="7">
        <v>0</v>
      </c>
      <c r="F34" s="7">
        <v>180000</v>
      </c>
      <c r="G34" s="7">
        <v>180000</v>
      </c>
    </row>
    <row r="35" spans="1:7" x14ac:dyDescent="0.3">
      <c r="A35" s="6" t="s">
        <v>72</v>
      </c>
      <c r="B35" s="6" t="s">
        <v>73</v>
      </c>
      <c r="C35" s="7">
        <f>G35-F35</f>
        <v>0</v>
      </c>
      <c r="D35" s="7">
        <v>103500</v>
      </c>
      <c r="E35" s="7">
        <v>0</v>
      </c>
      <c r="F35" s="7">
        <v>103500</v>
      </c>
      <c r="G35" s="7">
        <v>103500</v>
      </c>
    </row>
    <row r="36" spans="1:7" x14ac:dyDescent="0.3">
      <c r="A36" s="6" t="s">
        <v>74</v>
      </c>
      <c r="B36" s="6" t="s">
        <v>75</v>
      </c>
      <c r="C36" s="7">
        <f>G36-F36</f>
        <v>0</v>
      </c>
      <c r="D36" s="7">
        <v>106426000</v>
      </c>
      <c r="E36" s="7">
        <v>0</v>
      </c>
      <c r="F36" s="7">
        <v>106426000</v>
      </c>
      <c r="G36" s="7">
        <v>106426000</v>
      </c>
    </row>
    <row r="37" spans="1:7" x14ac:dyDescent="0.3">
      <c r="A37" s="6" t="s">
        <v>76</v>
      </c>
      <c r="B37" s="6" t="s">
        <v>77</v>
      </c>
      <c r="C37" s="7">
        <f>G37-F37</f>
        <v>0</v>
      </c>
      <c r="D37" s="7">
        <v>480110455</v>
      </c>
      <c r="E37" s="7">
        <v>-221263536</v>
      </c>
      <c r="F37" s="7">
        <v>258846919</v>
      </c>
      <c r="G37" s="7">
        <v>258846919</v>
      </c>
    </row>
    <row r="38" spans="1:7" x14ac:dyDescent="0.3">
      <c r="A38" s="6" t="s">
        <v>78</v>
      </c>
      <c r="B38" s="6" t="s">
        <v>79</v>
      </c>
      <c r="C38" s="7">
        <f>G38-F38</f>
        <v>0</v>
      </c>
      <c r="D38" s="7">
        <v>43070000</v>
      </c>
      <c r="E38" s="7">
        <v>-16710000</v>
      </c>
      <c r="F38" s="7">
        <v>26360000</v>
      </c>
      <c r="G38" s="7">
        <v>26360000</v>
      </c>
    </row>
    <row r="39" spans="1:7" x14ac:dyDescent="0.3">
      <c r="A39" s="6" t="s">
        <v>80</v>
      </c>
      <c r="B39" s="6" t="s">
        <v>81</v>
      </c>
      <c r="C39" s="7">
        <f>G39-F39</f>
        <v>0</v>
      </c>
      <c r="D39" s="7">
        <v>54932489</v>
      </c>
      <c r="E39" s="7">
        <v>-18907000</v>
      </c>
      <c r="F39" s="7">
        <v>36025489</v>
      </c>
      <c r="G39" s="7">
        <v>36025489</v>
      </c>
    </row>
    <row r="40" spans="1:7" x14ac:dyDescent="0.3">
      <c r="A40" s="6" t="s">
        <v>82</v>
      </c>
      <c r="B40" s="6" t="s">
        <v>83</v>
      </c>
      <c r="C40" s="7">
        <f>G40-F40</f>
        <v>0</v>
      </c>
      <c r="D40" s="7">
        <v>213209171.24000001</v>
      </c>
      <c r="E40" s="7">
        <v>-45906000</v>
      </c>
      <c r="F40" s="7">
        <v>167303171.24000001</v>
      </c>
      <c r="G40" s="7">
        <v>167303171.24000001</v>
      </c>
    </row>
    <row r="41" spans="1:7" x14ac:dyDescent="0.3">
      <c r="A41" s="6" t="s">
        <v>84</v>
      </c>
      <c r="B41" s="6" t="s">
        <v>85</v>
      </c>
      <c r="C41" s="7">
        <f>G41-F41</f>
        <v>0</v>
      </c>
      <c r="D41" s="7">
        <v>42449250</v>
      </c>
      <c r="E41" s="7">
        <v>-9225000</v>
      </c>
      <c r="F41" s="7">
        <v>33224250</v>
      </c>
      <c r="G41" s="7">
        <v>33224250</v>
      </c>
    </row>
    <row r="42" spans="1:7" x14ac:dyDescent="0.3">
      <c r="A42" s="6" t="s">
        <v>86</v>
      </c>
      <c r="B42" s="6" t="s">
        <v>87</v>
      </c>
      <c r="C42" s="7">
        <f>G42-F42</f>
        <v>0</v>
      </c>
      <c r="D42" s="7">
        <v>18784610</v>
      </c>
      <c r="E42" s="7">
        <v>-9181500</v>
      </c>
      <c r="F42" s="7">
        <v>9603110</v>
      </c>
      <c r="G42" s="7">
        <v>9603110</v>
      </c>
    </row>
    <row r="43" spans="1:7" x14ac:dyDescent="0.3">
      <c r="A43" s="6" t="s">
        <v>88</v>
      </c>
      <c r="B43" s="6" t="s">
        <v>89</v>
      </c>
      <c r="C43" s="7">
        <f>G43-F43</f>
        <v>0</v>
      </c>
      <c r="D43" s="7">
        <v>35000000</v>
      </c>
      <c r="E43" s="7">
        <v>0</v>
      </c>
      <c r="F43" s="7">
        <v>35000000</v>
      </c>
      <c r="G43" s="7">
        <v>35000000</v>
      </c>
    </row>
    <row r="44" spans="1:7" x14ac:dyDescent="0.3">
      <c r="A44" s="6" t="s">
        <v>90</v>
      </c>
      <c r="B44" s="6" t="s">
        <v>91</v>
      </c>
      <c r="C44" s="7">
        <f>G44-F44</f>
        <v>0</v>
      </c>
      <c r="D44" s="7">
        <v>0</v>
      </c>
      <c r="E44" s="7">
        <v>-31824990.34</v>
      </c>
      <c r="F44" s="7">
        <v>-31824990.34</v>
      </c>
      <c r="G44" s="7">
        <v>-31824990.34</v>
      </c>
    </row>
    <row r="45" spans="1:7" x14ac:dyDescent="0.3">
      <c r="A45" s="6" t="s">
        <v>92</v>
      </c>
      <c r="B45" s="6" t="s">
        <v>93</v>
      </c>
      <c r="C45" s="7">
        <f>G45-F45</f>
        <v>0</v>
      </c>
      <c r="D45" s="7">
        <v>0</v>
      </c>
      <c r="E45" s="7">
        <v>-15117000</v>
      </c>
      <c r="F45" s="7">
        <v>-15117000</v>
      </c>
      <c r="G45" s="7">
        <v>-15117000</v>
      </c>
    </row>
    <row r="46" spans="1:7" x14ac:dyDescent="0.3">
      <c r="A46" s="6" t="s">
        <v>94</v>
      </c>
      <c r="B46" s="6" t="s">
        <v>95</v>
      </c>
      <c r="C46" s="7">
        <f>G46-F46</f>
        <v>0</v>
      </c>
      <c r="D46" s="7">
        <v>0</v>
      </c>
      <c r="E46" s="7">
        <v>-13999497</v>
      </c>
      <c r="F46" s="7">
        <v>-13999497</v>
      </c>
      <c r="G46" s="7">
        <v>-13999497</v>
      </c>
    </row>
    <row r="47" spans="1:7" x14ac:dyDescent="0.3">
      <c r="A47" s="6" t="s">
        <v>96</v>
      </c>
      <c r="B47" s="6" t="s">
        <v>97</v>
      </c>
      <c r="C47" s="7">
        <f>G47-F47</f>
        <v>0</v>
      </c>
      <c r="D47" s="7">
        <v>165000</v>
      </c>
      <c r="E47" s="7">
        <v>-25023100</v>
      </c>
      <c r="F47" s="7">
        <v>-24858100</v>
      </c>
      <c r="G47" s="7">
        <v>-24858100</v>
      </c>
    </row>
    <row r="48" spans="1:7" x14ac:dyDescent="0.3">
      <c r="A48" s="6" t="s">
        <v>98</v>
      </c>
      <c r="B48" s="6" t="s">
        <v>99</v>
      </c>
      <c r="C48" s="7">
        <f>G48-F48</f>
        <v>0</v>
      </c>
      <c r="D48" s="7">
        <v>136000</v>
      </c>
      <c r="E48" s="7">
        <v>-13902000</v>
      </c>
      <c r="F48" s="7">
        <v>-13766000</v>
      </c>
      <c r="G48" s="7">
        <v>-13766000</v>
      </c>
    </row>
    <row r="49" spans="1:7" x14ac:dyDescent="0.3">
      <c r="A49" s="6" t="s">
        <v>100</v>
      </c>
      <c r="B49" s="6" t="s">
        <v>101</v>
      </c>
      <c r="C49" s="7">
        <f>G49-F49</f>
        <v>0</v>
      </c>
      <c r="D49" s="7">
        <v>0</v>
      </c>
      <c r="E49" s="7">
        <v>-3743910</v>
      </c>
      <c r="F49" s="7">
        <v>-3743910</v>
      </c>
      <c r="G49" s="7">
        <v>-3743910</v>
      </c>
    </row>
    <row r="50" spans="1:7" x14ac:dyDescent="0.3">
      <c r="A50" s="6" t="s">
        <v>102</v>
      </c>
      <c r="B50" s="6" t="s">
        <v>103</v>
      </c>
      <c r="C50" s="7">
        <f>G50-F50</f>
        <v>0</v>
      </c>
      <c r="D50" s="7">
        <v>327500</v>
      </c>
      <c r="E50" s="7">
        <v>-327500</v>
      </c>
      <c r="F50" s="7">
        <v>0</v>
      </c>
      <c r="G50" s="7">
        <v>0</v>
      </c>
    </row>
    <row r="51" spans="1:7" x14ac:dyDescent="0.3">
      <c r="A51" s="6" t="s">
        <v>104</v>
      </c>
      <c r="B51" s="6" t="s">
        <v>105</v>
      </c>
      <c r="C51" s="7">
        <f>G51-F51</f>
        <v>0</v>
      </c>
      <c r="D51" s="7">
        <v>1320000</v>
      </c>
      <c r="E51" s="7">
        <v>-1320000</v>
      </c>
      <c r="F51" s="7">
        <v>0</v>
      </c>
      <c r="G51" s="7">
        <v>0</v>
      </c>
    </row>
    <row r="52" spans="1:7" x14ac:dyDescent="0.3">
      <c r="A52" s="6" t="s">
        <v>106</v>
      </c>
      <c r="B52" s="6" t="s">
        <v>107</v>
      </c>
      <c r="C52" s="7">
        <f>G52-F52</f>
        <v>0</v>
      </c>
      <c r="D52" s="7">
        <v>20399595.199999999</v>
      </c>
      <c r="E52" s="7">
        <v>-20701203.010000002</v>
      </c>
      <c r="F52" s="7">
        <v>-301607.81</v>
      </c>
      <c r="G52" s="7">
        <v>-301607.81</v>
      </c>
    </row>
    <row r="53" spans="1:7" x14ac:dyDescent="0.3">
      <c r="A53" s="6" t="s">
        <v>108</v>
      </c>
      <c r="B53" s="6" t="s">
        <v>109</v>
      </c>
      <c r="C53" s="7">
        <f>G53-F53</f>
        <v>0</v>
      </c>
      <c r="D53" s="7">
        <v>9217175</v>
      </c>
      <c r="E53" s="7">
        <v>-9293425</v>
      </c>
      <c r="F53" s="7">
        <v>-76250</v>
      </c>
      <c r="G53" s="7">
        <v>-76250</v>
      </c>
    </row>
    <row r="54" spans="1:7" x14ac:dyDescent="0.3">
      <c r="A54" s="6" t="s">
        <v>110</v>
      </c>
      <c r="B54" s="6" t="s">
        <v>111</v>
      </c>
      <c r="C54" s="7">
        <f>G54-F54</f>
        <v>0</v>
      </c>
      <c r="D54" s="7">
        <v>554650</v>
      </c>
      <c r="E54" s="7">
        <v>-554650</v>
      </c>
      <c r="F54" s="7">
        <v>0</v>
      </c>
      <c r="G54" s="7">
        <v>0</v>
      </c>
    </row>
    <row r="55" spans="1:7" x14ac:dyDescent="0.3">
      <c r="A55" s="6" t="s">
        <v>112</v>
      </c>
      <c r="B55" s="6" t="s">
        <v>113</v>
      </c>
      <c r="C55" s="7">
        <f>G55-F55</f>
        <v>0</v>
      </c>
      <c r="D55" s="7">
        <v>2318000</v>
      </c>
      <c r="E55" s="7">
        <v>0</v>
      </c>
      <c r="F55" s="7">
        <v>2318000</v>
      </c>
      <c r="G55" s="7">
        <v>2318000</v>
      </c>
    </row>
    <row r="56" spans="1:7" x14ac:dyDescent="0.3">
      <c r="A56" s="6" t="s">
        <v>114</v>
      </c>
      <c r="B56" s="6" t="s">
        <v>115</v>
      </c>
      <c r="C56" s="7">
        <f>G56-F56</f>
        <v>0</v>
      </c>
      <c r="D56" s="7">
        <v>26665794.18</v>
      </c>
      <c r="E56" s="7">
        <v>-26665794.18</v>
      </c>
      <c r="F56" s="7">
        <v>0</v>
      </c>
      <c r="G56" s="7">
        <v>0</v>
      </c>
    </row>
    <row r="57" spans="1:7" x14ac:dyDescent="0.3">
      <c r="A57" s="6" t="s">
        <v>116</v>
      </c>
      <c r="B57" s="6" t="s">
        <v>117</v>
      </c>
      <c r="C57" s="7">
        <f>G57-F57</f>
        <v>-526313165.14999998</v>
      </c>
      <c r="D57" s="7">
        <v>30882586.48</v>
      </c>
      <c r="E57" s="7">
        <v>-15186724.83</v>
      </c>
      <c r="F57" s="7">
        <v>15695861.65</v>
      </c>
      <c r="G57" s="7">
        <v>-510617303.5</v>
      </c>
    </row>
    <row r="58" spans="1:7" x14ac:dyDescent="0.3">
      <c r="A58" s="6" t="s">
        <v>118</v>
      </c>
      <c r="B58" s="6" t="s">
        <v>119</v>
      </c>
      <c r="C58" s="7">
        <f>G58-F58</f>
        <v>0</v>
      </c>
      <c r="D58" s="7">
        <v>321293036</v>
      </c>
      <c r="E58" s="7">
        <v>-429099017.75</v>
      </c>
      <c r="F58" s="7">
        <v>-107805981.75</v>
      </c>
      <c r="G58" s="7">
        <v>-107805981.75</v>
      </c>
    </row>
    <row r="59" spans="1:7" x14ac:dyDescent="0.3">
      <c r="A59" s="6" t="s">
        <v>120</v>
      </c>
      <c r="B59" s="6" t="s">
        <v>121</v>
      </c>
      <c r="C59" s="7">
        <f>G59-F59</f>
        <v>82251605.640000001</v>
      </c>
      <c r="D59" s="7">
        <v>0</v>
      </c>
      <c r="E59" s="7">
        <v>-82251605.640000001</v>
      </c>
      <c r="F59" s="7">
        <v>-82251605.640000001</v>
      </c>
      <c r="G59" s="7">
        <v>0</v>
      </c>
    </row>
    <row r="60" spans="1:7" x14ac:dyDescent="0.3">
      <c r="A60" s="6" t="s">
        <v>122</v>
      </c>
      <c r="B60" s="6" t="s">
        <v>123</v>
      </c>
      <c r="C60" s="7">
        <f>G60-F60</f>
        <v>102026493.81999999</v>
      </c>
      <c r="D60" s="7">
        <v>0</v>
      </c>
      <c r="E60" s="7">
        <v>-112802013.81999999</v>
      </c>
      <c r="F60" s="7">
        <v>-112802013.81999999</v>
      </c>
      <c r="G60" s="7">
        <v>-10775520</v>
      </c>
    </row>
    <row r="61" spans="1:7" x14ac:dyDescent="0.3">
      <c r="A61" s="6" t="s">
        <v>124</v>
      </c>
      <c r="B61" s="6" t="s">
        <v>125</v>
      </c>
      <c r="C61" s="7">
        <f>G61-F61</f>
        <v>1073004622.2099999</v>
      </c>
      <c r="D61" s="7">
        <v>10575</v>
      </c>
      <c r="E61" s="7">
        <v>-1244107793.8599999</v>
      </c>
      <c r="F61" s="7">
        <v>-1244097218.8599999</v>
      </c>
      <c r="G61" s="7">
        <v>-171092596.65000001</v>
      </c>
    </row>
    <row r="62" spans="1:7" x14ac:dyDescent="0.3">
      <c r="A62" s="6" t="s">
        <v>126</v>
      </c>
      <c r="B62" s="6" t="s">
        <v>127</v>
      </c>
      <c r="C62" s="7">
        <f>G62-F62</f>
        <v>1876656640.4900002</v>
      </c>
      <c r="D62" s="7">
        <v>240697566.87</v>
      </c>
      <c r="E62" s="7">
        <v>-2391785520.8800001</v>
      </c>
      <c r="F62" s="7">
        <v>-2151087954.0100002</v>
      </c>
      <c r="G62" s="7">
        <v>-274431313.51999998</v>
      </c>
    </row>
    <row r="63" spans="1:7" x14ac:dyDescent="0.3">
      <c r="A63" s="6" t="s">
        <v>128</v>
      </c>
      <c r="B63" s="6" t="s">
        <v>129</v>
      </c>
      <c r="C63" s="7">
        <f>G63-F63</f>
        <v>225105237.38</v>
      </c>
      <c r="D63" s="7">
        <v>1178214</v>
      </c>
      <c r="E63" s="7">
        <v>-279724880.38</v>
      </c>
      <c r="F63" s="7">
        <v>-278546666.38</v>
      </c>
      <c r="G63" s="7">
        <v>-53441429</v>
      </c>
    </row>
    <row r="64" spans="1:7" x14ac:dyDescent="0.3">
      <c r="A64" s="6" t="s">
        <v>130</v>
      </c>
      <c r="B64" s="6" t="s">
        <v>131</v>
      </c>
      <c r="C64" s="7">
        <f>G64-F64</f>
        <v>5802984.8600000003</v>
      </c>
      <c r="D64" s="7">
        <v>0</v>
      </c>
      <c r="E64" s="7">
        <v>-5802984.8600000003</v>
      </c>
      <c r="F64" s="7">
        <v>-5802984.8600000003</v>
      </c>
      <c r="G64" s="7">
        <v>0</v>
      </c>
    </row>
    <row r="65" spans="1:7" x14ac:dyDescent="0.3">
      <c r="A65" s="6" t="s">
        <v>132</v>
      </c>
      <c r="B65" s="6" t="s">
        <v>133</v>
      </c>
      <c r="C65" s="7">
        <f>G65-F65</f>
        <v>-285218104.39999998</v>
      </c>
      <c r="D65" s="7">
        <v>360285495.76999998</v>
      </c>
      <c r="E65" s="7">
        <v>0</v>
      </c>
      <c r="F65" s="7">
        <v>360285495.76999998</v>
      </c>
      <c r="G65" s="7">
        <v>75067391.370000005</v>
      </c>
    </row>
    <row r="66" spans="1:7" x14ac:dyDescent="0.3">
      <c r="A66" s="6" t="s">
        <v>134</v>
      </c>
      <c r="B66" s="6" t="s">
        <v>135</v>
      </c>
      <c r="C66" s="7">
        <f>G66-F66</f>
        <v>-65336786</v>
      </c>
      <c r="D66" s="7">
        <v>72933561</v>
      </c>
      <c r="E66" s="7">
        <v>0</v>
      </c>
      <c r="F66" s="7">
        <v>72933561</v>
      </c>
      <c r="G66" s="7">
        <v>7596775</v>
      </c>
    </row>
    <row r="67" spans="1:7" x14ac:dyDescent="0.3">
      <c r="A67" s="6" t="s">
        <v>136</v>
      </c>
      <c r="B67" s="6" t="s">
        <v>137</v>
      </c>
      <c r="C67" s="7">
        <f>G67-F67</f>
        <v>-58743269.25</v>
      </c>
      <c r="D67" s="7">
        <v>74781619.25</v>
      </c>
      <c r="E67" s="7">
        <v>0</v>
      </c>
      <c r="F67" s="7">
        <v>74781619.25</v>
      </c>
      <c r="G67" s="7">
        <v>16038350</v>
      </c>
    </row>
    <row r="68" spans="1:7" x14ac:dyDescent="0.3">
      <c r="A68" s="6" t="s">
        <v>138</v>
      </c>
      <c r="B68" s="6" t="s">
        <v>139</v>
      </c>
      <c r="C68" s="7">
        <f>G68-F68</f>
        <v>-7763040.9999999991</v>
      </c>
      <c r="D68" s="7">
        <v>8534353.3699999992</v>
      </c>
      <c r="E68" s="7">
        <v>0</v>
      </c>
      <c r="F68" s="7">
        <v>8534353.3699999992</v>
      </c>
      <c r="G68" s="7">
        <v>771312.37</v>
      </c>
    </row>
    <row r="69" spans="1:7" x14ac:dyDescent="0.3">
      <c r="A69" s="6" t="s">
        <v>140</v>
      </c>
      <c r="B69" s="6" t="s">
        <v>141</v>
      </c>
      <c r="C69" s="7">
        <f>G69-F69</f>
        <v>-1493264.82</v>
      </c>
      <c r="D69" s="7">
        <v>1493264.82</v>
      </c>
      <c r="E69" s="7">
        <v>0</v>
      </c>
      <c r="F69" s="7">
        <v>1493264.82</v>
      </c>
      <c r="G69" s="7">
        <v>0</v>
      </c>
    </row>
    <row r="70" spans="1:7" x14ac:dyDescent="0.3">
      <c r="A70" s="6" t="s">
        <v>142</v>
      </c>
      <c r="B70" s="6" t="s">
        <v>143</v>
      </c>
      <c r="C70" s="7">
        <f>G70-F70</f>
        <v>-67800</v>
      </c>
      <c r="D70" s="7">
        <v>67800</v>
      </c>
      <c r="E70" s="7">
        <v>0</v>
      </c>
      <c r="F70" s="7">
        <v>67800</v>
      </c>
      <c r="G70" s="7">
        <v>0</v>
      </c>
    </row>
    <row r="71" spans="1:7" x14ac:dyDescent="0.3">
      <c r="A71" s="6" t="s">
        <v>144</v>
      </c>
      <c r="B71" s="6" t="s">
        <v>145</v>
      </c>
      <c r="C71" s="7">
        <f>G71-F71</f>
        <v>-45000</v>
      </c>
      <c r="D71" s="7">
        <v>45000</v>
      </c>
      <c r="E71" s="7">
        <v>0</v>
      </c>
      <c r="F71" s="7">
        <v>45000</v>
      </c>
      <c r="G71" s="7">
        <v>0</v>
      </c>
    </row>
    <row r="72" spans="1:7" x14ac:dyDescent="0.3">
      <c r="A72" s="6" t="s">
        <v>146</v>
      </c>
      <c r="B72" s="6" t="s">
        <v>147</v>
      </c>
      <c r="C72" s="7">
        <f>G72-F72</f>
        <v>-7050000</v>
      </c>
      <c r="D72" s="7">
        <v>7050000</v>
      </c>
      <c r="E72" s="7">
        <v>0</v>
      </c>
      <c r="F72" s="7">
        <v>7050000</v>
      </c>
      <c r="G72" s="7">
        <v>0</v>
      </c>
    </row>
    <row r="73" spans="1:7" x14ac:dyDescent="0.3">
      <c r="A73" s="6" t="s">
        <v>148</v>
      </c>
      <c r="B73" s="6" t="s">
        <v>149</v>
      </c>
      <c r="C73" s="7">
        <f>G73-F73</f>
        <v>-7749940</v>
      </c>
      <c r="D73" s="7">
        <v>9702340</v>
      </c>
      <c r="E73" s="7">
        <v>0</v>
      </c>
      <c r="F73" s="7">
        <v>9702340</v>
      </c>
      <c r="G73" s="7">
        <v>1952400</v>
      </c>
    </row>
    <row r="74" spans="1:7" x14ac:dyDescent="0.3">
      <c r="A74" s="6" t="s">
        <v>150</v>
      </c>
      <c r="B74" s="6" t="s">
        <v>151</v>
      </c>
      <c r="C74" s="7">
        <f>G74-F74</f>
        <v>-4767108.37</v>
      </c>
      <c r="D74" s="7">
        <v>4767108.37</v>
      </c>
      <c r="E74" s="7">
        <v>0</v>
      </c>
      <c r="F74" s="7">
        <v>4767108.37</v>
      </c>
      <c r="G74" s="7">
        <v>0</v>
      </c>
    </row>
    <row r="75" spans="1:7" x14ac:dyDescent="0.3">
      <c r="A75" s="6" t="s">
        <v>152</v>
      </c>
      <c r="B75" s="6" t="s">
        <v>153</v>
      </c>
      <c r="C75" s="7">
        <f>G75-F75</f>
        <v>-4161975</v>
      </c>
      <c r="D75" s="7">
        <v>4161975</v>
      </c>
      <c r="E75" s="7">
        <v>0</v>
      </c>
      <c r="F75" s="7">
        <v>4161975</v>
      </c>
      <c r="G75" s="7">
        <v>0</v>
      </c>
    </row>
    <row r="76" spans="1:7" x14ac:dyDescent="0.3">
      <c r="A76" s="6" t="s">
        <v>154</v>
      </c>
      <c r="B76" s="6" t="s">
        <v>155</v>
      </c>
      <c r="C76" s="7">
        <f>G76-F76</f>
        <v>-3197475</v>
      </c>
      <c r="D76" s="7">
        <v>3197475</v>
      </c>
      <c r="E76" s="7">
        <v>0</v>
      </c>
      <c r="F76" s="7">
        <v>3197475</v>
      </c>
      <c r="G76" s="7">
        <v>0</v>
      </c>
    </row>
    <row r="77" spans="1:7" x14ac:dyDescent="0.3">
      <c r="A77" s="6" t="s">
        <v>156</v>
      </c>
      <c r="B77" s="6" t="s">
        <v>157</v>
      </c>
      <c r="C77" s="7">
        <f>G77-F77</f>
        <v>-31148292.200000003</v>
      </c>
      <c r="D77" s="7">
        <v>36199560.880000003</v>
      </c>
      <c r="E77" s="7">
        <v>0</v>
      </c>
      <c r="F77" s="7">
        <v>36199560.880000003</v>
      </c>
      <c r="G77" s="7">
        <v>5051268.68</v>
      </c>
    </row>
    <row r="78" spans="1:7" x14ac:dyDescent="0.3">
      <c r="A78" s="6" t="s">
        <v>158</v>
      </c>
      <c r="B78" s="6" t="s">
        <v>159</v>
      </c>
      <c r="C78" s="7">
        <f>G78-F78</f>
        <v>-48266609.430000007</v>
      </c>
      <c r="D78" s="7">
        <v>77934959.430000007</v>
      </c>
      <c r="E78" s="7">
        <v>0</v>
      </c>
      <c r="F78" s="7">
        <v>77934959.430000007</v>
      </c>
      <c r="G78" s="7">
        <v>29668350</v>
      </c>
    </row>
    <row r="79" spans="1:7" x14ac:dyDescent="0.3">
      <c r="A79" s="6" t="s">
        <v>160</v>
      </c>
      <c r="B79" s="6" t="s">
        <v>161</v>
      </c>
      <c r="C79" s="7">
        <f>G79-F79</f>
        <v>-2730400.22</v>
      </c>
      <c r="D79" s="7">
        <v>2730400.22</v>
      </c>
      <c r="E79" s="7">
        <v>0</v>
      </c>
      <c r="F79" s="7">
        <v>2730400.22</v>
      </c>
      <c r="G79" s="7">
        <v>0</v>
      </c>
    </row>
    <row r="80" spans="1:7" x14ac:dyDescent="0.3">
      <c r="A80" s="6" t="s">
        <v>162</v>
      </c>
      <c r="B80" s="6" t="s">
        <v>163</v>
      </c>
      <c r="C80" s="7">
        <f>G80-F80</f>
        <v>-4124125</v>
      </c>
      <c r="D80" s="7">
        <v>4124125</v>
      </c>
      <c r="E80" s="7">
        <v>0</v>
      </c>
      <c r="F80" s="7">
        <v>4124125</v>
      </c>
      <c r="G80" s="7">
        <v>0</v>
      </c>
    </row>
    <row r="81" spans="1:7" x14ac:dyDescent="0.3">
      <c r="A81" s="6" t="s">
        <v>164</v>
      </c>
      <c r="B81" s="6" t="s">
        <v>165</v>
      </c>
      <c r="C81" s="7">
        <f>G81-F81</f>
        <v>-734070168.53999996</v>
      </c>
      <c r="D81" s="7">
        <v>894156293.42999995</v>
      </c>
      <c r="E81" s="7">
        <v>-63318163.329999998</v>
      </c>
      <c r="F81" s="7">
        <v>830838130.10000002</v>
      </c>
      <c r="G81" s="7">
        <v>96767961.560000002</v>
      </c>
    </row>
    <row r="82" spans="1:7" x14ac:dyDescent="0.3">
      <c r="A82" s="6" t="s">
        <v>166</v>
      </c>
      <c r="B82" s="6" t="s">
        <v>167</v>
      </c>
      <c r="C82" s="7">
        <f>G82-F82</f>
        <v>-54653000</v>
      </c>
      <c r="D82" s="7">
        <v>61653000</v>
      </c>
      <c r="E82" s="7">
        <v>0</v>
      </c>
      <c r="F82" s="7">
        <v>61653000</v>
      </c>
      <c r="G82" s="7">
        <v>7000000</v>
      </c>
    </row>
    <row r="83" spans="1:7" x14ac:dyDescent="0.3">
      <c r="A83" s="6" t="s">
        <v>168</v>
      </c>
      <c r="B83" s="6" t="s">
        <v>169</v>
      </c>
      <c r="C83" s="7">
        <f>G83-F83</f>
        <v>-645000</v>
      </c>
      <c r="D83" s="7">
        <v>645000</v>
      </c>
      <c r="E83" s="7">
        <v>0</v>
      </c>
      <c r="F83" s="7">
        <v>645000</v>
      </c>
      <c r="G83" s="7">
        <v>0</v>
      </c>
    </row>
    <row r="84" spans="1:7" x14ac:dyDescent="0.3">
      <c r="A84" s="6" t="s">
        <v>170</v>
      </c>
      <c r="B84" s="6" t="s">
        <v>171</v>
      </c>
      <c r="C84" s="7">
        <f>G84-F84</f>
        <v>-173213252</v>
      </c>
      <c r="D84" s="7">
        <v>199122002</v>
      </c>
      <c r="E84" s="7">
        <v>0</v>
      </c>
      <c r="F84" s="7">
        <v>199122002</v>
      </c>
      <c r="G84" s="7">
        <v>25908750</v>
      </c>
    </row>
    <row r="85" spans="1:7" x14ac:dyDescent="0.3">
      <c r="A85" s="6" t="s">
        <v>172</v>
      </c>
      <c r="B85" s="6" t="s">
        <v>173</v>
      </c>
      <c r="C85" s="7">
        <f>G85-F85</f>
        <v>-1548000</v>
      </c>
      <c r="D85" s="7">
        <v>1548000</v>
      </c>
      <c r="E85" s="7">
        <v>0</v>
      </c>
      <c r="F85" s="7">
        <v>1548000</v>
      </c>
      <c r="G85" s="7">
        <v>0</v>
      </c>
    </row>
    <row r="86" spans="1:7" x14ac:dyDescent="0.3">
      <c r="A86" s="6" t="s">
        <v>174</v>
      </c>
      <c r="B86" s="6" t="s">
        <v>175</v>
      </c>
      <c r="C86" s="7">
        <f>G86-F86</f>
        <v>-3616390.29</v>
      </c>
      <c r="D86" s="7">
        <v>4795637.47</v>
      </c>
      <c r="E86" s="7">
        <v>0</v>
      </c>
      <c r="F86" s="7">
        <v>4795637.47</v>
      </c>
      <c r="G86" s="7">
        <v>1179247.18</v>
      </c>
    </row>
    <row r="87" spans="1:7" x14ac:dyDescent="0.3">
      <c r="A87" s="6" t="s">
        <v>176</v>
      </c>
      <c r="B87" s="6" t="s">
        <v>177</v>
      </c>
      <c r="C87" s="7">
        <f>G87-F87</f>
        <v>-11393216</v>
      </c>
      <c r="D87" s="7">
        <v>11393216</v>
      </c>
      <c r="E87" s="7">
        <v>0</v>
      </c>
      <c r="F87" s="7">
        <v>11393216</v>
      </c>
      <c r="G87" s="7">
        <v>0</v>
      </c>
    </row>
    <row r="88" spans="1:7" x14ac:dyDescent="0.3">
      <c r="A88" s="6" t="s">
        <v>178</v>
      </c>
      <c r="B88" s="6" t="s">
        <v>179</v>
      </c>
      <c r="C88" s="7">
        <f>G88-F88</f>
        <v>-101148098.59999999</v>
      </c>
      <c r="D88" s="7">
        <v>114223698.59999999</v>
      </c>
      <c r="E88" s="7">
        <v>0</v>
      </c>
      <c r="F88" s="7">
        <v>114223698.59999999</v>
      </c>
      <c r="G88" s="7">
        <v>13075600</v>
      </c>
    </row>
    <row r="89" spans="1:7" x14ac:dyDescent="0.3">
      <c r="A89" s="6" t="s">
        <v>180</v>
      </c>
      <c r="B89" s="6" t="s">
        <v>181</v>
      </c>
      <c r="C89" s="7">
        <f>G89-F89</f>
        <v>-14648800</v>
      </c>
      <c r="D89" s="7">
        <v>14648800</v>
      </c>
      <c r="E89" s="7">
        <v>0</v>
      </c>
      <c r="F89" s="7">
        <v>14648800</v>
      </c>
      <c r="G89" s="7">
        <v>0</v>
      </c>
    </row>
    <row r="90" spans="1:7" x14ac:dyDescent="0.3">
      <c r="A90" s="6" t="s">
        <v>182</v>
      </c>
      <c r="B90" s="6" t="s">
        <v>183</v>
      </c>
      <c r="C90" s="7">
        <f>G90-F90</f>
        <v>-35106486.880000003</v>
      </c>
      <c r="D90" s="7">
        <v>43762576.880000003</v>
      </c>
      <c r="E90" s="7">
        <v>0</v>
      </c>
      <c r="F90" s="7">
        <v>43762576.880000003</v>
      </c>
      <c r="G90" s="7">
        <v>8656090</v>
      </c>
    </row>
    <row r="91" spans="1:7" x14ac:dyDescent="0.3">
      <c r="A91" s="6" t="s">
        <v>184</v>
      </c>
      <c r="B91" s="6" t="s">
        <v>185</v>
      </c>
      <c r="C91" s="7">
        <f>G91-F91</f>
        <v>-10469500</v>
      </c>
      <c r="D91" s="7">
        <v>13377500</v>
      </c>
      <c r="E91" s="7">
        <v>0</v>
      </c>
      <c r="F91" s="7">
        <v>13377500</v>
      </c>
      <c r="G91" s="7">
        <v>2908000</v>
      </c>
    </row>
    <row r="92" spans="1:7" x14ac:dyDescent="0.3">
      <c r="A92" s="6" t="s">
        <v>186</v>
      </c>
      <c r="B92" s="6" t="s">
        <v>187</v>
      </c>
      <c r="C92" s="7">
        <f>G92-F92</f>
        <v>-9436785</v>
      </c>
      <c r="D92" s="7">
        <v>9436785</v>
      </c>
      <c r="E92" s="7">
        <v>0</v>
      </c>
      <c r="F92" s="7">
        <v>9436785</v>
      </c>
      <c r="G92" s="7">
        <v>0</v>
      </c>
    </row>
    <row r="93" spans="1:7" x14ac:dyDescent="0.3">
      <c r="A93" s="6" t="s">
        <v>188</v>
      </c>
      <c r="B93" s="6" t="s">
        <v>189</v>
      </c>
      <c r="C93" s="7">
        <f>G93-F93</f>
        <v>-10645395</v>
      </c>
      <c r="D93" s="7">
        <v>11694595</v>
      </c>
      <c r="E93" s="7">
        <v>0</v>
      </c>
      <c r="F93" s="7">
        <v>11694595</v>
      </c>
      <c r="G93" s="7">
        <v>1049200</v>
      </c>
    </row>
    <row r="94" spans="1:7" x14ac:dyDescent="0.3">
      <c r="A94" s="6" t="s">
        <v>190</v>
      </c>
      <c r="B94" s="6" t="s">
        <v>191</v>
      </c>
      <c r="C94" s="7">
        <f>G94-F94</f>
        <v>-19699461</v>
      </c>
      <c r="D94" s="7">
        <v>22580861</v>
      </c>
      <c r="E94" s="7">
        <v>-100000</v>
      </c>
      <c r="F94" s="7">
        <v>22480861</v>
      </c>
      <c r="G94" s="7">
        <v>2781400</v>
      </c>
    </row>
    <row r="95" spans="1:7" x14ac:dyDescent="0.3">
      <c r="A95" s="6" t="s">
        <v>192</v>
      </c>
      <c r="B95" s="6" t="s">
        <v>193</v>
      </c>
      <c r="C95" s="7">
        <f>G95-F95</f>
        <v>-4829500</v>
      </c>
      <c r="D95" s="7">
        <v>5205640</v>
      </c>
      <c r="E95" s="7">
        <v>0</v>
      </c>
      <c r="F95" s="7">
        <v>5205640</v>
      </c>
      <c r="G95" s="7">
        <v>376140</v>
      </c>
    </row>
    <row r="96" spans="1:7" x14ac:dyDescent="0.3">
      <c r="A96" s="6" t="s">
        <v>194</v>
      </c>
      <c r="B96" s="6" t="s">
        <v>195</v>
      </c>
      <c r="C96" s="7">
        <f>G96-F96</f>
        <v>-203600</v>
      </c>
      <c r="D96" s="7">
        <v>203600</v>
      </c>
      <c r="E96" s="7">
        <v>0</v>
      </c>
      <c r="F96" s="7">
        <v>203600</v>
      </c>
      <c r="G96" s="7">
        <v>0</v>
      </c>
    </row>
    <row r="97" spans="1:7" x14ac:dyDescent="0.3">
      <c r="A97" s="6" t="s">
        <v>196</v>
      </c>
      <c r="B97" s="6" t="s">
        <v>197</v>
      </c>
      <c r="C97" s="7">
        <f>G97-F97</f>
        <v>-23082030</v>
      </c>
      <c r="D97" s="7">
        <v>25788330</v>
      </c>
      <c r="E97" s="7">
        <v>0</v>
      </c>
      <c r="F97" s="7">
        <v>25788330</v>
      </c>
      <c r="G97" s="7">
        <v>2706300</v>
      </c>
    </row>
    <row r="98" spans="1:7" x14ac:dyDescent="0.3">
      <c r="A98" s="6" t="s">
        <v>198</v>
      </c>
      <c r="B98" s="6" t="s">
        <v>199</v>
      </c>
      <c r="C98" s="7">
        <f>G98-F98</f>
        <v>-61100</v>
      </c>
      <c r="D98" s="7">
        <v>61100</v>
      </c>
      <c r="E98" s="7">
        <v>0</v>
      </c>
      <c r="F98" s="7">
        <v>61100</v>
      </c>
      <c r="G98" s="7">
        <v>0</v>
      </c>
    </row>
    <row r="99" spans="1:7" x14ac:dyDescent="0.3">
      <c r="A99" s="6" t="s">
        <v>200</v>
      </c>
      <c r="B99" s="6" t="s">
        <v>201</v>
      </c>
      <c r="C99" s="7">
        <f>G99-F99</f>
        <v>-1939500</v>
      </c>
      <c r="D99" s="7">
        <v>1939500</v>
      </c>
      <c r="E99" s="7">
        <v>0</v>
      </c>
      <c r="F99" s="7">
        <v>1939500</v>
      </c>
      <c r="G99" s="7">
        <v>0</v>
      </c>
    </row>
    <row r="100" spans="1:7" x14ac:dyDescent="0.3">
      <c r="A100" s="6" t="s">
        <v>202</v>
      </c>
      <c r="B100" s="6" t="s">
        <v>203</v>
      </c>
      <c r="C100" s="7">
        <f>G100-F100</f>
        <v>-29729460</v>
      </c>
      <c r="D100" s="7">
        <v>32074260</v>
      </c>
      <c r="E100" s="7">
        <v>0</v>
      </c>
      <c r="F100" s="7">
        <v>32074260</v>
      </c>
      <c r="G100" s="7">
        <v>2344800</v>
      </c>
    </row>
    <row r="101" spans="1:7" x14ac:dyDescent="0.3">
      <c r="A101" s="6" t="s">
        <v>204</v>
      </c>
      <c r="B101" s="6" t="s">
        <v>205</v>
      </c>
      <c r="C101" s="7">
        <f>G101-F101</f>
        <v>-84132411</v>
      </c>
      <c r="D101" s="7">
        <v>98323341</v>
      </c>
      <c r="E101" s="7">
        <v>0</v>
      </c>
      <c r="F101" s="7">
        <v>98323341</v>
      </c>
      <c r="G101" s="7">
        <v>14190930</v>
      </c>
    </row>
    <row r="102" spans="1:7" x14ac:dyDescent="0.3">
      <c r="A102" s="6" t="s">
        <v>206</v>
      </c>
      <c r="B102" s="6" t="s">
        <v>207</v>
      </c>
      <c r="C102" s="7">
        <f>G102-F102</f>
        <v>-10034760</v>
      </c>
      <c r="D102" s="7">
        <v>10034760</v>
      </c>
      <c r="E102" s="7">
        <v>0</v>
      </c>
      <c r="F102" s="7">
        <v>10034760</v>
      </c>
      <c r="G102" s="7">
        <v>0</v>
      </c>
    </row>
    <row r="103" spans="1:7" x14ac:dyDescent="0.3">
      <c r="A103" s="6" t="s">
        <v>208</v>
      </c>
      <c r="B103" s="6" t="s">
        <v>209</v>
      </c>
      <c r="C103" s="7">
        <f>G103-F103</f>
        <v>-39049730</v>
      </c>
      <c r="D103" s="7">
        <v>48509580</v>
      </c>
      <c r="E103" s="7">
        <v>0</v>
      </c>
      <c r="F103" s="7">
        <v>48509580</v>
      </c>
      <c r="G103" s="7">
        <v>9459850</v>
      </c>
    </row>
    <row r="104" spans="1:7" x14ac:dyDescent="0.3">
      <c r="A104" s="6" t="s">
        <v>210</v>
      </c>
      <c r="B104" s="6" t="s">
        <v>211</v>
      </c>
      <c r="C104" s="7">
        <f>G104-F104</f>
        <v>-2213200</v>
      </c>
      <c r="D104" s="7">
        <v>2213200</v>
      </c>
      <c r="E104" s="7">
        <v>0</v>
      </c>
      <c r="F104" s="7">
        <v>2213200</v>
      </c>
      <c r="G104" s="7">
        <v>0</v>
      </c>
    </row>
    <row r="105" spans="1:7" x14ac:dyDescent="0.3">
      <c r="A105" s="6" t="s">
        <v>212</v>
      </c>
      <c r="B105" s="6" t="s">
        <v>213</v>
      </c>
      <c r="C105" s="7">
        <f>G105-F105</f>
        <v>-9436210</v>
      </c>
      <c r="D105" s="7">
        <v>10984410</v>
      </c>
      <c r="E105" s="7">
        <v>0</v>
      </c>
      <c r="F105" s="7">
        <v>10984410</v>
      </c>
      <c r="G105" s="7">
        <v>1548200</v>
      </c>
    </row>
    <row r="106" spans="1:7" x14ac:dyDescent="0.3">
      <c r="A106" s="6" t="s">
        <v>214</v>
      </c>
      <c r="B106" s="6" t="s">
        <v>215</v>
      </c>
      <c r="C106" s="7">
        <f>G106-F106</f>
        <v>-577000</v>
      </c>
      <c r="D106" s="7">
        <v>577000</v>
      </c>
      <c r="E106" s="7">
        <v>0</v>
      </c>
      <c r="F106" s="7">
        <v>577000</v>
      </c>
      <c r="G106" s="7">
        <v>0</v>
      </c>
    </row>
    <row r="107" spans="1:7" x14ac:dyDescent="0.3">
      <c r="A107" s="6" t="s">
        <v>216</v>
      </c>
      <c r="B107" s="6" t="s">
        <v>217</v>
      </c>
      <c r="C107" s="7">
        <f>G107-F107</f>
        <v>-4629930</v>
      </c>
      <c r="D107" s="7">
        <v>5138730</v>
      </c>
      <c r="E107" s="7">
        <v>0</v>
      </c>
      <c r="F107" s="7">
        <v>5138730</v>
      </c>
      <c r="G107" s="7">
        <v>508800</v>
      </c>
    </row>
    <row r="108" spans="1:7" x14ac:dyDescent="0.3">
      <c r="A108" s="6" t="s">
        <v>218</v>
      </c>
      <c r="B108" s="6" t="s">
        <v>219</v>
      </c>
      <c r="C108" s="7">
        <f>G108-F108</f>
        <v>-13495500</v>
      </c>
      <c r="D108" s="7">
        <v>14670500</v>
      </c>
      <c r="E108" s="7">
        <v>0</v>
      </c>
      <c r="F108" s="7">
        <v>14670500</v>
      </c>
      <c r="G108" s="7">
        <v>1175000</v>
      </c>
    </row>
    <row r="109" spans="1:7" x14ac:dyDescent="0.3">
      <c r="A109" s="6" t="s">
        <v>220</v>
      </c>
      <c r="B109" s="6" t="s">
        <v>221</v>
      </c>
      <c r="C109" s="7">
        <f>G109-F109</f>
        <v>-194809355</v>
      </c>
      <c r="D109" s="7">
        <v>213109355</v>
      </c>
      <c r="E109" s="7">
        <v>0</v>
      </c>
      <c r="F109" s="7">
        <v>213109355</v>
      </c>
      <c r="G109" s="7">
        <v>18300000</v>
      </c>
    </row>
    <row r="110" spans="1:7" x14ac:dyDescent="0.3">
      <c r="A110" s="6" t="s">
        <v>222</v>
      </c>
      <c r="B110" s="6" t="s">
        <v>223</v>
      </c>
      <c r="C110" s="7">
        <f>G110-F110</f>
        <v>-443636008.5</v>
      </c>
      <c r="D110" s="7">
        <v>496464001</v>
      </c>
      <c r="E110" s="7">
        <v>-117992.5</v>
      </c>
      <c r="F110" s="7">
        <v>496346008.5</v>
      </c>
      <c r="G110" s="7">
        <v>52710000</v>
      </c>
    </row>
    <row r="111" spans="1:7" x14ac:dyDescent="0.3">
      <c r="A111" s="6" t="s">
        <v>224</v>
      </c>
      <c r="B111" s="6" t="s">
        <v>225</v>
      </c>
      <c r="C111" s="7">
        <f>G111-F111</f>
        <v>-250000</v>
      </c>
      <c r="D111" s="7">
        <v>250000</v>
      </c>
      <c r="E111" s="7">
        <v>0</v>
      </c>
      <c r="F111" s="7">
        <v>250000</v>
      </c>
      <c r="G111" s="7">
        <v>0</v>
      </c>
    </row>
    <row r="112" spans="1:7" x14ac:dyDescent="0.3">
      <c r="A112" s="6" t="s">
        <v>226</v>
      </c>
      <c r="B112" s="6" t="s">
        <v>227</v>
      </c>
      <c r="C112" s="7">
        <f>G112-F112</f>
        <v>-200000</v>
      </c>
      <c r="D112" s="7">
        <v>200000</v>
      </c>
      <c r="E112" s="7">
        <v>0</v>
      </c>
      <c r="F112" s="7">
        <v>200000</v>
      </c>
      <c r="G112" s="7">
        <v>0</v>
      </c>
    </row>
    <row r="113" spans="1:7" x14ac:dyDescent="0.3">
      <c r="A113" s="6" t="s">
        <v>228</v>
      </c>
      <c r="B113" s="6" t="s">
        <v>229</v>
      </c>
      <c r="C113" s="7">
        <f>G113-F113</f>
        <v>-596000</v>
      </c>
      <c r="D113" s="7">
        <v>596000</v>
      </c>
      <c r="E113" s="7">
        <v>0</v>
      </c>
      <c r="F113" s="7">
        <v>596000</v>
      </c>
      <c r="G113" s="7">
        <v>0</v>
      </c>
    </row>
    <row r="114" spans="1:7" x14ac:dyDescent="0.3">
      <c r="A114" s="6" t="s">
        <v>230</v>
      </c>
      <c r="B114" s="6" t="s">
        <v>231</v>
      </c>
      <c r="C114" s="7">
        <f>G114-F114</f>
        <v>-33932700</v>
      </c>
      <c r="D114" s="7">
        <v>35842700</v>
      </c>
      <c r="E114" s="7">
        <v>0</v>
      </c>
      <c r="F114" s="7">
        <v>35842700</v>
      </c>
      <c r="G114" s="7">
        <v>1910000</v>
      </c>
    </row>
    <row r="115" spans="1:7" x14ac:dyDescent="0.3">
      <c r="A115" s="6" t="s">
        <v>232</v>
      </c>
      <c r="B115" s="6" t="s">
        <v>233</v>
      </c>
      <c r="C115" s="7">
        <f>G115-F115</f>
        <v>-54657215.18</v>
      </c>
      <c r="D115" s="7">
        <v>54657215.18</v>
      </c>
      <c r="E115" s="7">
        <v>0</v>
      </c>
      <c r="F115" s="7">
        <v>54657215.18</v>
      </c>
      <c r="G115" s="7">
        <v>0</v>
      </c>
    </row>
    <row r="116" spans="1:7" x14ac:dyDescent="0.3">
      <c r="A116" s="6" t="s">
        <v>234</v>
      </c>
      <c r="B116" s="6" t="s">
        <v>235</v>
      </c>
      <c r="C116" s="7">
        <f>G116-F116</f>
        <v>-9891718</v>
      </c>
      <c r="D116" s="7">
        <v>9891718</v>
      </c>
      <c r="E116" s="7">
        <v>0</v>
      </c>
      <c r="F116" s="7">
        <v>9891718</v>
      </c>
      <c r="G116" s="7">
        <v>0</v>
      </c>
    </row>
    <row r="117" spans="1:7" x14ac:dyDescent="0.3">
      <c r="A117" s="6" t="s">
        <v>236</v>
      </c>
      <c r="B117" s="6" t="s">
        <v>237</v>
      </c>
      <c r="C117" s="7">
        <f>G117-F117</f>
        <v>-6802054.3799999999</v>
      </c>
      <c r="D117" s="7">
        <v>7426872.2999999998</v>
      </c>
      <c r="E117" s="7">
        <v>-45034.22</v>
      </c>
      <c r="F117" s="7">
        <v>7381838.0800000001</v>
      </c>
      <c r="G117" s="7">
        <v>579783.69999999995</v>
      </c>
    </row>
    <row r="118" spans="1:7" x14ac:dyDescent="0.3">
      <c r="A118" s="6" t="s">
        <v>238</v>
      </c>
      <c r="B118" s="6" t="s">
        <v>239</v>
      </c>
      <c r="C118" s="7">
        <f>G118-F118</f>
        <v>-29054950.960000001</v>
      </c>
      <c r="D118" s="7">
        <v>31824990.34</v>
      </c>
      <c r="E118" s="7">
        <v>0</v>
      </c>
      <c r="F118" s="7">
        <v>31824990.34</v>
      </c>
      <c r="G118" s="7">
        <v>2770039.38</v>
      </c>
    </row>
    <row r="119" spans="1:7" x14ac:dyDescent="0.3">
      <c r="A119" s="6" t="s">
        <v>240</v>
      </c>
      <c r="B119" s="6" t="s">
        <v>241</v>
      </c>
      <c r="C119" s="7">
        <f>G119-F119</f>
        <v>-14007000</v>
      </c>
      <c r="D119" s="7">
        <v>15117000</v>
      </c>
      <c r="E119" s="7">
        <v>0</v>
      </c>
      <c r="F119" s="7">
        <v>15117000</v>
      </c>
      <c r="G119" s="7">
        <v>1110000</v>
      </c>
    </row>
    <row r="120" spans="1:7" x14ac:dyDescent="0.3">
      <c r="A120" s="6" t="s">
        <v>242</v>
      </c>
      <c r="B120" s="6" t="s">
        <v>243</v>
      </c>
      <c r="C120" s="7">
        <f>G120-F120</f>
        <v>-12667598</v>
      </c>
      <c r="D120" s="7">
        <v>13999497</v>
      </c>
      <c r="E120" s="7">
        <v>0</v>
      </c>
      <c r="F120" s="7">
        <v>13999497</v>
      </c>
      <c r="G120" s="7">
        <v>1331899</v>
      </c>
    </row>
    <row r="121" spans="1:7" x14ac:dyDescent="0.3">
      <c r="A121" s="6" t="s">
        <v>244</v>
      </c>
      <c r="B121" s="6" t="s">
        <v>245</v>
      </c>
      <c r="C121" s="7">
        <f>G121-F121</f>
        <v>-24594250</v>
      </c>
      <c r="D121" s="7">
        <v>26823100</v>
      </c>
      <c r="E121" s="7">
        <v>0</v>
      </c>
      <c r="F121" s="7">
        <v>26823100</v>
      </c>
      <c r="G121" s="7">
        <v>2228850</v>
      </c>
    </row>
    <row r="122" spans="1:7" x14ac:dyDescent="0.3">
      <c r="A122" s="6" t="s">
        <v>246</v>
      </c>
      <c r="B122" s="6" t="s">
        <v>247</v>
      </c>
      <c r="C122" s="7">
        <f>G122-F122</f>
        <v>-12697050</v>
      </c>
      <c r="D122" s="7">
        <v>13902000</v>
      </c>
      <c r="E122" s="7">
        <v>0</v>
      </c>
      <c r="F122" s="7">
        <v>13902000</v>
      </c>
      <c r="G122" s="7">
        <v>1204950</v>
      </c>
    </row>
    <row r="123" spans="1:7" x14ac:dyDescent="0.3">
      <c r="A123" s="6" t="s">
        <v>248</v>
      </c>
      <c r="B123" s="6" t="s">
        <v>249</v>
      </c>
      <c r="C123" s="7">
        <f>G123-F123</f>
        <v>-3479140</v>
      </c>
      <c r="D123" s="7">
        <v>3743910</v>
      </c>
      <c r="E123" s="7">
        <v>0</v>
      </c>
      <c r="F123" s="7">
        <v>3743910</v>
      </c>
      <c r="G123" s="7">
        <v>264770</v>
      </c>
    </row>
    <row r="124" spans="1:7" x14ac:dyDescent="0.3">
      <c r="A124" s="5" t="s">
        <v>7</v>
      </c>
    </row>
    <row r="125" spans="1:7" customFormat="1" ht="14.5" x14ac:dyDescent="0.35">
      <c r="A125" s="9"/>
      <c r="B125" s="9"/>
      <c r="C125" s="10"/>
      <c r="D125" s="10"/>
      <c r="E125" s="10"/>
      <c r="F125" s="10"/>
      <c r="G125" s="10"/>
    </row>
    <row r="126" spans="1:7" ht="13.5" thickBot="1" x14ac:dyDescent="0.35">
      <c r="A126" s="6" t="s">
        <v>7</v>
      </c>
      <c r="B126" s="6" t="s">
        <v>250</v>
      </c>
      <c r="C126" s="7">
        <f>G126-F126</f>
        <v>61688704.229999997</v>
      </c>
      <c r="D126" s="8">
        <f>ROUND(SUBTOTAL(9, D2:D125), 5)</f>
        <v>12732618792.299999</v>
      </c>
      <c r="E126" s="8">
        <f>ROUND(SUBTOTAL(9, E2:E125), 5)</f>
        <v>-12794307496.530001</v>
      </c>
      <c r="F126" s="8">
        <f>ROUND(SUBTOTAL(9, F2:F125), 5)</f>
        <v>-61688704.229999997</v>
      </c>
      <c r="G126" s="8">
        <f>ROUND(SUBTOTAL(9, G2:G125), 5)</f>
        <v>0</v>
      </c>
    </row>
    <row r="127" spans="1:7" customFormat="1" ht="15.5" thickTop="1" thickBot="1" x14ac:dyDescent="0.4">
      <c r="A127" s="11"/>
      <c r="B127" s="11"/>
      <c r="C127" s="12"/>
      <c r="D127" s="12"/>
      <c r="E127" s="12"/>
      <c r="F127" s="12"/>
      <c r="G127" s="12"/>
    </row>
  </sheetData>
  <pageMargins left="0.7" right="0.7" top="1.2222222222222223" bottom="0.65277777777777779" header="0.3" footer="0.3"/>
  <pageSetup orientation="landscape" r:id="rId1"/>
  <headerFooter>
    <oddHeader xml:space="preserve">&amp;C&amp;"Times New Roman"&amp;10ROYAN HOSPITAL
Gl Account Summary Report
As of: December 31, 2024
&amp;L&amp;"Times New Roman"&amp;10
</oddHeader>
    <oddFooter>&amp;L&amp;08&amp;"MS San Serif"&amp;D at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 Account Summary</vt:lpstr>
      <vt:lpstr>'GL Account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2026-10-01T15:21:34Z</dcterms:created>
  <dcterms:modified xsi:type="dcterms:W3CDTF">2026-10-01T15:21:54Z</dcterms:modified>
</cp:coreProperties>
</file>